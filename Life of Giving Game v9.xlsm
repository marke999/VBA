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https://d.docs.live.net/52db743910a1f59d/Desktop/Programming/"/>
    </mc:Choice>
  </mc:AlternateContent>
  <xr:revisionPtr revIDLastSave="374" documentId="11_923DC434E02F04B218261BE598DCCA45DDFFBD2D" xr6:coauthVersionLast="47" xr6:coauthVersionMax="47" xr10:uidLastSave="{1215C252-6FCA-4B7D-BB15-6849138E48BA}"/>
  <bookViews>
    <workbookView xWindow="-108" yWindow="-108" windowWidth="23256" windowHeight="13176" xr2:uid="{00000000-000D-0000-FFFF-FFFF00000000}"/>
  </bookViews>
  <sheets>
    <sheet name="Sheet1" sheetId="1" r:id="rId1"/>
    <sheet name="Sheet2" sheetId="2" state="hidden" r:id="rId2"/>
    <sheet name="Layout" sheetId="3" state="hidden" r:id="rId3"/>
    <sheet name="Calculation" sheetId="5" state="hidden"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0" i="5" l="1"/>
  <c r="A16" i="5"/>
  <c r="A13" i="5" l="1"/>
  <c r="A5" i="5"/>
  <c r="A15" i="5" s="1"/>
  <c r="A17" i="5" l="1"/>
  <c r="C2" i="2" l="1"/>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1" i="2"/>
  <c r="B6" i="2"/>
  <c r="D6" i="2" s="1"/>
  <c r="B7" i="2"/>
  <c r="D7" i="2" s="1"/>
  <c r="B8" i="2"/>
  <c r="D8" i="2" s="1"/>
  <c r="B9" i="2"/>
  <c r="D9" i="2" s="1"/>
  <c r="B10" i="2"/>
  <c r="D10" i="2" s="1"/>
  <c r="B11" i="2"/>
  <c r="D11" i="2" s="1"/>
  <c r="B12" i="2"/>
  <c r="D12" i="2" s="1"/>
  <c r="B13" i="2"/>
  <c r="D13" i="2" s="1"/>
  <c r="B14" i="2"/>
  <c r="D14" i="2" s="1"/>
  <c r="B15" i="2"/>
  <c r="D15" i="2" s="1"/>
  <c r="B16" i="2"/>
  <c r="D16" i="2" s="1"/>
  <c r="B17" i="2"/>
  <c r="D17" i="2" s="1"/>
  <c r="B18" i="2"/>
  <c r="D18" i="2" s="1"/>
  <c r="B19" i="2"/>
  <c r="D19" i="2" s="1"/>
  <c r="B20" i="2"/>
  <c r="D20" i="2" s="1"/>
  <c r="B21" i="2"/>
  <c r="D21" i="2" s="1"/>
  <c r="B22" i="2"/>
  <c r="D22" i="2" s="1"/>
  <c r="B23" i="2"/>
  <c r="D23" i="2" s="1"/>
  <c r="B24" i="2"/>
  <c r="D24" i="2" s="1"/>
  <c r="B25" i="2"/>
  <c r="D25" i="2" s="1"/>
  <c r="B26" i="2"/>
  <c r="D26" i="2" s="1"/>
  <c r="B27" i="2"/>
  <c r="D27" i="2" s="1"/>
  <c r="B28" i="2"/>
  <c r="D28" i="2" s="1"/>
  <c r="B29" i="2"/>
  <c r="D29" i="2" s="1"/>
  <c r="B30" i="2"/>
  <c r="D30" i="2" s="1"/>
  <c r="B31" i="2"/>
  <c r="D31" i="2" s="1"/>
  <c r="B32" i="2"/>
  <c r="D32" i="2" s="1"/>
  <c r="B33" i="2"/>
  <c r="D33" i="2" s="1"/>
  <c r="B34" i="2"/>
  <c r="D34" i="2" s="1"/>
  <c r="B35" i="2"/>
  <c r="D35" i="2" s="1"/>
  <c r="B36" i="2"/>
  <c r="D36" i="2" s="1"/>
  <c r="B37" i="2"/>
  <c r="D37" i="2" s="1"/>
  <c r="B38" i="2"/>
  <c r="D38" i="2" s="1"/>
  <c r="B39" i="2"/>
  <c r="D39" i="2" s="1"/>
  <c r="B40" i="2"/>
  <c r="D40" i="2" s="1"/>
  <c r="B41" i="2"/>
  <c r="D41" i="2" s="1"/>
  <c r="B42" i="2"/>
  <c r="D42" i="2" s="1"/>
  <c r="B43" i="2"/>
  <c r="D43" i="2" s="1"/>
  <c r="B44" i="2"/>
  <c r="D44" i="2" s="1"/>
  <c r="B45" i="2"/>
  <c r="D45" i="2" s="1"/>
  <c r="B46" i="2"/>
  <c r="D46" i="2" s="1"/>
  <c r="B47" i="2"/>
  <c r="D47" i="2" s="1"/>
  <c r="B48" i="2"/>
  <c r="D48" i="2" s="1"/>
  <c r="B49" i="2"/>
  <c r="D49" i="2" s="1"/>
  <c r="B50" i="2"/>
  <c r="D50" i="2" s="1"/>
  <c r="B51" i="2"/>
  <c r="D51" i="2" s="1"/>
  <c r="B52" i="2"/>
  <c r="D52" i="2" s="1"/>
  <c r="B53" i="2"/>
  <c r="D53" i="2" s="1"/>
  <c r="B54" i="2"/>
  <c r="D54" i="2" s="1"/>
  <c r="B55" i="2"/>
  <c r="D55" i="2" s="1"/>
  <c r="B56" i="2"/>
  <c r="D56" i="2" s="1"/>
  <c r="B57" i="2"/>
  <c r="D57" i="2" s="1"/>
  <c r="B58" i="2"/>
  <c r="D58" i="2" s="1"/>
  <c r="B59" i="2"/>
  <c r="D59" i="2" s="1"/>
  <c r="B60" i="2"/>
  <c r="D60" i="2" s="1"/>
  <c r="B61" i="2"/>
  <c r="D61" i="2" s="1"/>
  <c r="B62" i="2"/>
  <c r="D62" i="2" s="1"/>
  <c r="B63" i="2"/>
  <c r="D63" i="2" s="1"/>
  <c r="B64" i="2"/>
  <c r="D64" i="2" s="1"/>
  <c r="B65" i="2"/>
  <c r="D65" i="2" s="1"/>
  <c r="B66" i="2"/>
  <c r="D66" i="2" s="1"/>
  <c r="B67" i="2"/>
  <c r="D67" i="2" s="1"/>
  <c r="B68" i="2"/>
  <c r="D68" i="2" s="1"/>
  <c r="B69" i="2"/>
  <c r="D69" i="2" s="1"/>
  <c r="B70" i="2"/>
  <c r="D70" i="2" s="1"/>
  <c r="B71" i="2"/>
  <c r="D71" i="2" s="1"/>
  <c r="B72" i="2"/>
  <c r="D72" i="2" s="1"/>
  <c r="B73" i="2"/>
  <c r="D73" i="2" s="1"/>
  <c r="B2" i="2"/>
  <c r="D2" i="2" s="1"/>
  <c r="B3" i="2"/>
  <c r="D3" i="2" s="1"/>
  <c r="B4" i="2"/>
  <c r="D4" i="2" s="1"/>
  <c r="B5" i="2"/>
  <c r="D5" i="2" s="1"/>
  <c r="B1" i="2"/>
  <c r="D1" i="2" s="1"/>
  <c r="K3" i="1"/>
  <c r="J3" i="1"/>
  <c r="K2" i="1"/>
  <c r="K4" i="1"/>
  <c r="J4" i="1"/>
  <c r="J2" i="1"/>
  <c r="F14" i="1"/>
  <c r="J6" i="1" l="1"/>
  <c r="F15" i="1"/>
  <c r="F16" i="1"/>
</calcChain>
</file>

<file path=xl/sharedStrings.xml><?xml version="1.0" encoding="utf-8"?>
<sst xmlns="http://schemas.openxmlformats.org/spreadsheetml/2006/main" count="131" uniqueCount="127">
  <si>
    <t>Kitkat</t>
  </si>
  <si>
    <t>Reese</t>
  </si>
  <si>
    <t>Mars</t>
  </si>
  <si>
    <t>Get</t>
  </si>
  <si>
    <t>And Get</t>
  </si>
  <si>
    <t>And your message for today</t>
  </si>
  <si>
    <t>Statistical Probability</t>
  </si>
  <si>
    <t>Smarties</t>
  </si>
  <si>
    <t>Polvoron</t>
  </si>
  <si>
    <t>Sunflower Biscuit</t>
  </si>
  <si>
    <t>1.  Life is about making an impact, not making an income. --Kevin Kruse</t>
  </si>
  <si>
    <t>2. Whatever the mind of man can conceive and believe, it can achieve. –Napoleon Hill</t>
  </si>
  <si>
    <t>3. Strive not to be a success, but rather to be of value. –Albert Einstein</t>
  </si>
  <si>
    <t>4. Two roads diverged in a wood, and I—I took the one less traveled by, And that has made all the difference.  –Robert Frost</t>
  </si>
  <si>
    <t>5. I attribute my success to this: I never gave or took any excuse. –Florence Nightingale</t>
  </si>
  <si>
    <t>6. You miss 100% of the shots you don’t take. –Wayne Gretzky</t>
  </si>
  <si>
    <t>7. I've missed more than 9000 shots in my career. I've lost almost 300 games. 26 times I've been trusted to take the game winning shot and missed. I've failed over and over and over again in my life. And that is why I succeed. –Michael Jordan</t>
  </si>
  <si>
    <t>8. The most difficult thing is the decision to act, the rest is merely tenacity. –Amelia Earhart</t>
  </si>
  <si>
    <t>9. Every strike brings me closer to the next home run. –Babe Ruth</t>
  </si>
  <si>
    <t>10. Definiteness of purpose is the starting point of all achievement. –W. Clement Stone</t>
  </si>
  <si>
    <t>11. Life isn't about getting and having, it's about giving and being. –Kevin Kruse</t>
  </si>
  <si>
    <t>12. Life is what happens to you while you’re busy making other plans. –John Lennon</t>
  </si>
  <si>
    <t>13. We become what we think about. –Earl Nightingale</t>
  </si>
  <si>
    <t>14.Twenty years from now you will be more disappointed by the things that you didn’t do than by the ones you did do, so throw off the bowlines, sail away from safe harbor, catch the trade winds in your sails.  Explore, Dream, Discover. –Mark Twain</t>
  </si>
  <si>
    <t>15.Life is 10% what happens to me and 90% of how I react to it. –Charles Swindoll</t>
  </si>
  <si>
    <t>16. The most common way people give up their power is by thinking they don’t have any. –Alice Walker</t>
  </si>
  <si>
    <t>17. The mind is everything. What you think you become.  –Buddha</t>
  </si>
  <si>
    <t>18. The best time to plant a tree was 20 years ago. The second best time is now. –Chinese Proverb</t>
  </si>
  <si>
    <t>19. An unexamined life is not worth living. –Socrates</t>
  </si>
  <si>
    <t>20. Eighty percent of success is showing up. –Woody Allen</t>
  </si>
  <si>
    <t>21. Your time is limited, so don’t waste it living someone else’s life. –Steve Jobs</t>
  </si>
  <si>
    <t>22. Winning isn’t everything, but wanting to win is. –Vince Lombardi</t>
  </si>
  <si>
    <t>23. I am not a product of my circumstances. I am a product of my decisions. –Stephen Covey</t>
  </si>
  <si>
    <t>24. Every child is an artist.  The problem is how to remain an artist once he grows up. –Pablo Picasso</t>
  </si>
  <si>
    <t>25. You can never cross the ocean until you have the courage to lose sight of the shore. –Christopher Columbus</t>
  </si>
  <si>
    <t>26. I’ve learned that people will forget what you said, people will forget what you did, but people will never forget how you made them feel. –Maya Angelou</t>
  </si>
  <si>
    <t>27. Either you run the day, or the day runs you. –Jim Rohn</t>
  </si>
  <si>
    <t>28. Whether you think you can or you think you can’t, you’re right. –Henry Ford</t>
  </si>
  <si>
    <t>29. The two most important days in your life are the day you are born and the day you find out why. –Mark Twain</t>
  </si>
  <si>
    <t>30. Whatever you can do, or dream you can, begin it.  Boldness has genius, power and magic in it. –Johann Wolfgang von Goethe</t>
  </si>
  <si>
    <t>31. The best revenge is massive success. –Frank Sinatra</t>
  </si>
  <si>
    <t>32. People often say that motivation doesn’t last. Well, neither does bathing.  That’s why we recommend it daily. –Zig Ziglar</t>
  </si>
  <si>
    <t>33. Life shrinks or expands in proportion to one's courage. –Anais Nin</t>
  </si>
  <si>
    <t>34. If you hear a voice within you say “you cannot paint,” then by all means paint and that voice will be silenced. –Vincent Van Gogh</t>
  </si>
  <si>
    <t>35. There is only one way to avoid criticism: do nothing, say nothing, and be nothing. –Aristotle</t>
  </si>
  <si>
    <t>36. Ask and it will be given to you; search, and you will find; knock and the door will be opened for you. –Jesus</t>
  </si>
  <si>
    <t>37. The only person you are destined to become is the person you decide to be. –Ralph Waldo Emerson</t>
  </si>
  <si>
    <t>38. Go confidently in the direction of your dreams.  Live the life you have imagined. –Henry David Thoreau</t>
  </si>
  <si>
    <t>39. When I stand before God at the end of my life, I would hope that I would not have a single bit of talent left and could say, I used everything you gave me. –Erma Bombeck</t>
  </si>
  <si>
    <t>40. Few things can help an individual more than to place responsibility on him, and to let him know that you trust him.  –Booker T. Washington</t>
  </si>
  <si>
    <t>41. Certain things catch your eye, but pursue only those that capture the heart. – Ancient Indian Proverb</t>
  </si>
  <si>
    <t>42. Believe you can and you’re halfway there. –Theodore Roosevelt</t>
  </si>
  <si>
    <t>43. Everything you’ve ever wanted is on the other side of fear. –George Addair</t>
  </si>
  <si>
    <t>44. We can easily forgive a child who is afraid of the dark; the real tragedy of life is when men are afraid of the light. –Plato</t>
  </si>
  <si>
    <t>45. Teach thy tongue to say, "I do not know," and thous shalt progress. –Maimonides</t>
  </si>
  <si>
    <t>46. Start where you are. Use what you have.  Do what you can. –Arthur Ashe</t>
  </si>
  <si>
    <t>47. When I was 5 years old, my mother always told me that happiness was the key to life.  When I went to school, they asked me what I wanted to be when I grew up.  I wrote down ‘happy’.  They told me I didn’t understand the assignment, and I told them they didn’t understand life. –John Lennon</t>
  </si>
  <si>
    <t>48. Fall seven times and stand up eight. –Japanese Proverb</t>
  </si>
  <si>
    <t>49. When one door of happiness closes, another opens, but often we look so long at the closed door that we do not see the one that has been opened for us. –Helen Keller</t>
  </si>
  <si>
    <t>50. Everything has beauty, but not everyone can see. –Confucius</t>
  </si>
  <si>
    <t>51. How wonderful it is that nobody need wait a single moment before starting to improve the world. –Anne Frank</t>
  </si>
  <si>
    <t>52. When I let go of what I am, I become what I might be. –Lao Tzu</t>
  </si>
  <si>
    <t>53. Life is not measured by the number of breaths we take, but by the moments that take our breath away. –Maya Angelou</t>
  </si>
  <si>
    <t>54. Happiness is not something readymade.  It comes from your own actions. –Dalai Lama</t>
  </si>
  <si>
    <t>55. If you're offered a seat on a rocket ship, don't ask what seat! Just get on. –Sheryl Sandberg</t>
  </si>
  <si>
    <t>56. First, have a definite, clear practical ideal; a goal, an objective. Second, have the necessary means to achieve your ends; wisdom, money, materials, and methods. Third, adjust all your means to that end. –Aristotle</t>
  </si>
  <si>
    <t>57. If the wind will not serve, take to the oars. –Latin Proverb</t>
  </si>
  <si>
    <t>58. You can’t fall if you don’t climb.  But there’s no joy in living your whole life on the ground. –Unknown</t>
  </si>
  <si>
    <t>59. We must believe that we are gifted for something, and that this thing, at whatever cost, must be attained. –Marie Curie</t>
  </si>
  <si>
    <t>60. Too many of us are not living our dreams because we are living our fears. –Les Brown</t>
  </si>
  <si>
    <t>61. Challenges are what make life interesting and overcoming them is what makes life meaningful. –Joshua J. Marine</t>
  </si>
  <si>
    <t>62. If you want to lift yourself up, lift up someone else. –Booker T. Washington</t>
  </si>
  <si>
    <t>63. I have been impressed with the urgency of doing. Knowing is not enough; we must apply. Being willing is not enough; we must do. –Leonardo da Vinci</t>
  </si>
  <si>
    <t>64. Limitations live only in our minds.  But if we use our imaginations, our possibilities become limitless. –Jamie Paolinetti</t>
  </si>
  <si>
    <t>65. You take your life in your own hands, and what happens? A terrible thing, no one to blame. –Erica Jong</t>
  </si>
  <si>
    <t>66. What’s money? A man is a success if he gets up in the morning and goes to bed at night and in between does what he wants to do. –Bob Dylan</t>
  </si>
  <si>
    <t>67. I didn’t fail the test. I just found 100 ways to do it wrong. –Benjamin Franklin</t>
  </si>
  <si>
    <t>68. In order to succeed, your desire for success should be greater than your fear of failure. –Bill Cosby</t>
  </si>
  <si>
    <t>69. A person who never made a mistake never tried anything new. – Albert Einstein</t>
  </si>
  <si>
    <t>70. The person who says it cannot be done should not interrupt the person who is doing it. –Chinese Proverb</t>
  </si>
  <si>
    <t>71. There are no traffic jams along the extra mile. –Roger Staubach</t>
  </si>
  <si>
    <t>72. It is never too late to be what you might have been. –George Eliot</t>
  </si>
  <si>
    <t>73. You become what you believe. –Oprah Winfrey</t>
  </si>
  <si>
    <t>````</t>
  </si>
  <si>
    <t>M&amp;M</t>
  </si>
  <si>
    <t>Twix</t>
  </si>
  <si>
    <t>Oreo</t>
  </si>
  <si>
    <t>TABLE LAYOUT</t>
  </si>
  <si>
    <t>INFORMATION SECTION</t>
  </si>
  <si>
    <t>GAMES SECTION</t>
  </si>
  <si>
    <t>General</t>
  </si>
  <si>
    <t>DEMONSTRATION ABOUT PLUMPY NUTS</t>
  </si>
  <si>
    <t>1. Team will be divided into two groups (2 members each)</t>
  </si>
  <si>
    <t>2. One group will take turns to say about information Action Against Hunger and Ethiopia</t>
  </si>
  <si>
    <t>Information Section</t>
  </si>
  <si>
    <t>1. Provide information about Ethiopia and the importance of plumpy nuts</t>
  </si>
  <si>
    <t xml:space="preserve">2. Demonstrate the use of the arm measuring strip </t>
  </si>
  <si>
    <t xml:space="preserve">INFORMATION ABOUT ACTION AGAINST HUNGER AND ETHIOPIA </t>
  </si>
  <si>
    <t>DONATION BOX</t>
  </si>
  <si>
    <t>Games Section</t>
  </si>
  <si>
    <t>1. Donation Box will be presented to encourage students and faculty to donate $ 1 CAD</t>
  </si>
  <si>
    <t>Marketer</t>
  </si>
  <si>
    <t>1. Encourage passers-by to go to our booth to check out our campaign on Action Against Hunger and Ethiopia</t>
  </si>
  <si>
    <t>MARKETER</t>
  </si>
  <si>
    <t xml:space="preserve"> </t>
  </si>
  <si>
    <t>3. The other group will take turns about availing our 'fortune raffle-draw' game for chance to get as much prizes</t>
  </si>
  <si>
    <t>2. Facilitator will facilitate the 'fortune raffle draw' by asking the donor's name and what's in the person's mind</t>
  </si>
  <si>
    <t>3. Facilitator to congratulate donor for participating the game</t>
  </si>
  <si>
    <t>LAPTOP FOR OUR FORTUNE RAFFLE DRAW</t>
  </si>
  <si>
    <t>2. Take pictures for documentation</t>
  </si>
  <si>
    <t>donation</t>
  </si>
  <si>
    <t>pack</t>
  </si>
  <si>
    <t>piece</t>
  </si>
  <si>
    <t>price/piece</t>
  </si>
  <si>
    <t>selling price</t>
  </si>
  <si>
    <t>give out maximum pieces</t>
  </si>
  <si>
    <t>number of packs</t>
  </si>
  <si>
    <t>Buying Price</t>
  </si>
  <si>
    <t>Selling Price</t>
  </si>
  <si>
    <t>Profit = Donation</t>
  </si>
  <si>
    <t>maximum pieces to give out</t>
  </si>
  <si>
    <t>Hershey</t>
  </si>
  <si>
    <t>Donation</t>
  </si>
  <si>
    <t>Mentos</t>
  </si>
  <si>
    <t>Fraise</t>
  </si>
  <si>
    <t>PRIZES (SNACKS, CANDIES, CHOCOLATES, ETC.)</t>
  </si>
  <si>
    <t>Mark Eliezer Arnoco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</si>
</sst>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00_);_(&quot;$&quot;* \(#,##0.00\);_(&quot;$&quot;* &quot;-&quot;??_);_(@_)"/>
  </numFmts>
  <fonts count="17" x14ac:knownFonts="1">
    <font>
      <sz val="11"/>
      <color theme="1"/>
      <name val="Calibri"/>
      <family val="2"/>
      <scheme val="minor"/>
    </font>
    <font>
      <sz val="11"/>
      <color theme="1"/>
      <name val="Calibri"/>
      <family val="2"/>
      <scheme val="minor"/>
    </font>
    <font>
      <sz val="12"/>
      <color theme="1"/>
      <name val="Arial"/>
      <family val="2"/>
    </font>
    <font>
      <b/>
      <sz val="12"/>
      <color theme="1"/>
      <name val="Arial"/>
      <family val="2"/>
    </font>
    <font>
      <sz val="14"/>
      <color rgb="FF333333"/>
      <name val="Georgia"/>
      <family val="1"/>
    </font>
    <font>
      <u/>
      <sz val="11"/>
      <color theme="10"/>
      <name val="Calibri"/>
      <family val="2"/>
      <scheme val="minor"/>
    </font>
    <font>
      <b/>
      <sz val="11"/>
      <color theme="1"/>
      <name val="Calibri"/>
      <family val="2"/>
      <scheme val="minor"/>
    </font>
    <font>
      <b/>
      <sz val="24"/>
      <color theme="0"/>
      <name val="Calibri"/>
      <family val="2"/>
      <scheme val="minor"/>
    </font>
    <font>
      <b/>
      <sz val="16"/>
      <color theme="1"/>
      <name val="Calibri"/>
      <family val="2"/>
      <scheme val="minor"/>
    </font>
    <font>
      <b/>
      <sz val="10"/>
      <color theme="1"/>
      <name val="Calibri"/>
      <family val="2"/>
      <scheme val="minor"/>
    </font>
    <font>
      <sz val="10"/>
      <color theme="1"/>
      <name val="Calibri"/>
      <family val="2"/>
      <scheme val="minor"/>
    </font>
    <font>
      <b/>
      <sz val="14"/>
      <color theme="1"/>
      <name val="Calibri"/>
      <family val="2"/>
      <scheme val="minor"/>
    </font>
    <font>
      <b/>
      <sz val="11"/>
      <color theme="1"/>
      <name val="Calibri"/>
      <family val="2"/>
    </font>
    <font>
      <b/>
      <sz val="12"/>
      <color theme="1"/>
      <name val="Calibri"/>
      <family val="2"/>
      <scheme val="minor"/>
    </font>
    <font>
      <sz val="12"/>
      <color rgb="FF000000"/>
      <name val="Arial"/>
      <family val="2"/>
    </font>
    <font>
      <sz val="12"/>
      <color theme="0"/>
      <name val="Arial"/>
      <family val="2"/>
    </font>
    <font>
      <sz val="18"/>
      <color rgb="FF000000"/>
      <name val="Calibri"/>
      <family val="2"/>
    </font>
  </fonts>
  <fills count="6">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rgb="FFFFFF00"/>
        <bgColor rgb="FFFFFF00"/>
      </patternFill>
    </fill>
    <fill>
      <patternFill patternType="solid">
        <fgColor rgb="FFFF0000"/>
        <bgColor indexed="64"/>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9" fontId="1" fillId="0" borderId="0" applyFont="0" applyFill="0" applyBorder="0" applyAlignment="0" applyProtection="0"/>
    <xf numFmtId="0" fontId="5" fillId="0" borderId="0" applyNumberFormat="0" applyFill="0" applyBorder="0" applyAlignment="0" applyProtection="0"/>
    <xf numFmtId="164" fontId="1" fillId="0" borderId="0" applyFont="0" applyFill="0" applyBorder="0" applyAlignment="0" applyProtection="0"/>
  </cellStyleXfs>
  <cellXfs count="58">
    <xf numFmtId="0" fontId="0" fillId="0" borderId="0" xfId="0"/>
    <xf numFmtId="0" fontId="2" fillId="0" borderId="0" xfId="0" applyFont="1"/>
    <xf numFmtId="0" fontId="2" fillId="0" borderId="0" xfId="0" applyFont="1" applyAlignment="1">
      <alignment horizontal="center" vertical="center"/>
    </xf>
    <xf numFmtId="0" fontId="3" fillId="0" borderId="0" xfId="0" applyFont="1"/>
    <xf numFmtId="0" fontId="3" fillId="0" borderId="0" xfId="0" applyFont="1" applyAlignment="1">
      <alignment horizontal="center" vertical="center"/>
    </xf>
    <xf numFmtId="0" fontId="3" fillId="0" borderId="0" xfId="0" applyFont="1" applyAlignment="1">
      <alignment horizontal="center"/>
    </xf>
    <xf numFmtId="2" fontId="2" fillId="0" borderId="0" xfId="0" applyNumberFormat="1" applyFont="1"/>
    <xf numFmtId="9" fontId="2" fillId="0" borderId="0" xfId="1" applyFont="1"/>
    <xf numFmtId="45" fontId="2" fillId="0" borderId="0" xfId="0" applyNumberFormat="1" applyFont="1"/>
    <xf numFmtId="9" fontId="3" fillId="0" borderId="0" xfId="1" applyFont="1" applyAlignment="1">
      <alignment horizontal="center" vertical="center"/>
    </xf>
    <xf numFmtId="0" fontId="5" fillId="0" borderId="0" xfId="2" applyAlignment="1">
      <alignment vertical="center"/>
    </xf>
    <xf numFmtId="0" fontId="4" fillId="0" borderId="0" xfId="0" applyFont="1" applyAlignment="1">
      <alignment vertical="center"/>
    </xf>
    <xf numFmtId="0" fontId="0" fillId="0" borderId="0" xfId="0" applyAlignment="1">
      <alignment horizontal="left" vertical="top"/>
    </xf>
    <xf numFmtId="0" fontId="6" fillId="0" borderId="0" xfId="0" applyFont="1"/>
    <xf numFmtId="0" fontId="10" fillId="0" borderId="0" xfId="0" applyFont="1"/>
    <xf numFmtId="0" fontId="9" fillId="3" borderId="0" xfId="0" applyFont="1" applyFill="1"/>
    <xf numFmtId="0" fontId="9" fillId="0" borderId="0" xfId="0" applyFont="1"/>
    <xf numFmtId="0" fontId="12" fillId="0" borderId="0" xfId="0" applyFont="1"/>
    <xf numFmtId="0" fontId="12" fillId="4" borderId="0" xfId="0" applyFont="1" applyFill="1"/>
    <xf numFmtId="0" fontId="14" fillId="0" borderId="0" xfId="0" applyFont="1"/>
    <xf numFmtId="164" fontId="15" fillId="5" borderId="4" xfId="3" applyFont="1" applyFill="1" applyBorder="1" applyAlignment="1"/>
    <xf numFmtId="0" fontId="14" fillId="0" borderId="5" xfId="0" applyFont="1" applyBorder="1"/>
    <xf numFmtId="0" fontId="14" fillId="0" borderId="4" xfId="0" applyFont="1" applyBorder="1" applyAlignment="1">
      <alignment horizontal="right"/>
    </xf>
    <xf numFmtId="164" fontId="14" fillId="0" borderId="6" xfId="3" applyFont="1" applyBorder="1" applyAlignment="1"/>
    <xf numFmtId="0" fontId="14" fillId="0" borderId="8" xfId="0" applyFont="1" applyBorder="1"/>
    <xf numFmtId="164" fontId="14" fillId="0" borderId="4" xfId="3" applyFont="1" applyBorder="1" applyAlignment="1"/>
    <xf numFmtId="0" fontId="14" fillId="0" borderId="6" xfId="0" applyFont="1" applyBorder="1" applyAlignment="1">
      <alignment horizontal="right"/>
    </xf>
    <xf numFmtId="0" fontId="14" fillId="4" borderId="4" xfId="0" applyFont="1" applyFill="1" applyBorder="1" applyAlignment="1">
      <alignment horizontal="right"/>
    </xf>
    <xf numFmtId="0" fontId="2" fillId="0" borderId="0" xfId="0" applyFont="1" applyAlignment="1">
      <alignment horizontal="center"/>
    </xf>
    <xf numFmtId="0" fontId="0" fillId="3" borderId="0" xfId="0" applyFill="1"/>
    <xf numFmtId="0" fontId="5" fillId="0" borderId="0" xfId="2"/>
    <xf numFmtId="0" fontId="3" fillId="0" borderId="0" xfId="0" applyFont="1" applyAlignment="1">
      <alignment horizontal="center" vertical="center" wrapText="1"/>
    </xf>
    <xf numFmtId="0" fontId="3" fillId="0" borderId="0" xfId="0" applyFont="1" applyAlignment="1">
      <alignment horizontal="center"/>
    </xf>
    <xf numFmtId="0" fontId="8" fillId="0" borderId="1" xfId="0" applyFont="1" applyBorder="1" applyAlignment="1">
      <alignment horizontal="center" vertical="center"/>
    </xf>
    <xf numFmtId="0" fontId="8" fillId="0" borderId="2" xfId="0" applyFont="1" applyBorder="1" applyAlignment="1">
      <alignment horizontal="center" vertical="center"/>
    </xf>
    <xf numFmtId="0" fontId="8" fillId="0" borderId="3" xfId="0" applyFont="1" applyBorder="1" applyAlignment="1">
      <alignment horizontal="center" vertical="center"/>
    </xf>
    <xf numFmtId="0" fontId="8" fillId="0" borderId="6" xfId="0" applyFont="1" applyBorder="1" applyAlignment="1">
      <alignment horizontal="center" vertical="center"/>
    </xf>
    <xf numFmtId="0" fontId="8" fillId="0" borderId="7" xfId="0" applyFont="1" applyBorder="1" applyAlignment="1">
      <alignment horizontal="center" vertical="center"/>
    </xf>
    <xf numFmtId="0" fontId="8" fillId="0" borderId="8" xfId="0" applyFont="1" applyBorder="1" applyAlignment="1">
      <alignment horizontal="center" vertical="center"/>
    </xf>
    <xf numFmtId="0" fontId="11" fillId="0" borderId="1" xfId="0" applyFont="1" applyBorder="1" applyAlignment="1">
      <alignment horizontal="center" vertical="center" wrapText="1"/>
    </xf>
    <xf numFmtId="0" fontId="11" fillId="0" borderId="2" xfId="0" applyFont="1" applyBorder="1" applyAlignment="1">
      <alignment horizontal="center" vertical="center" wrapText="1"/>
    </xf>
    <xf numFmtId="0" fontId="11" fillId="0" borderId="3"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0" xfId="0" applyFont="1" applyAlignment="1">
      <alignment horizontal="center" vertical="center" wrapText="1"/>
    </xf>
    <xf numFmtId="0" fontId="11" fillId="0" borderId="5" xfId="0" applyFont="1" applyBorder="1" applyAlignment="1">
      <alignment horizontal="center" vertical="center" wrapText="1"/>
    </xf>
    <xf numFmtId="0" fontId="11" fillId="0" borderId="6" xfId="0" applyFont="1" applyBorder="1" applyAlignment="1">
      <alignment horizontal="center" vertical="center" wrapText="1"/>
    </xf>
    <xf numFmtId="0" fontId="11" fillId="0" borderId="7" xfId="0" applyFont="1" applyBorder="1" applyAlignment="1">
      <alignment horizontal="center" vertical="center" wrapText="1"/>
    </xf>
    <xf numFmtId="0" fontId="11" fillId="0" borderId="8" xfId="0" applyFont="1" applyBorder="1" applyAlignment="1">
      <alignment horizontal="center" vertical="center" wrapText="1"/>
    </xf>
    <xf numFmtId="0" fontId="7" fillId="2" borderId="4" xfId="0" applyFont="1" applyFill="1" applyBorder="1" applyAlignment="1">
      <alignment horizontal="center" vertical="center"/>
    </xf>
    <xf numFmtId="0" fontId="7" fillId="2" borderId="0" xfId="0" applyFont="1" applyFill="1" applyAlignment="1">
      <alignment horizontal="center" vertical="center"/>
    </xf>
    <xf numFmtId="0" fontId="13" fillId="0" borderId="1" xfId="0" applyFont="1" applyBorder="1" applyAlignment="1">
      <alignment horizontal="center" vertical="center"/>
    </xf>
    <xf numFmtId="0" fontId="13" fillId="0" borderId="2" xfId="0" applyFont="1" applyBorder="1" applyAlignment="1">
      <alignment horizontal="center" vertical="center"/>
    </xf>
    <xf numFmtId="0" fontId="13" fillId="0" borderId="3" xfId="0" applyFont="1" applyBorder="1" applyAlignment="1">
      <alignment horizontal="center" vertical="center"/>
    </xf>
    <xf numFmtId="0" fontId="13" fillId="0" borderId="6" xfId="0" applyFont="1" applyBorder="1" applyAlignment="1">
      <alignment horizontal="center" vertical="center"/>
    </xf>
    <xf numFmtId="0" fontId="13" fillId="0" borderId="7" xfId="0" applyFont="1" applyBorder="1" applyAlignment="1">
      <alignment horizontal="center" vertical="center"/>
    </xf>
    <xf numFmtId="0" fontId="13" fillId="0" borderId="8" xfId="0" applyFont="1" applyBorder="1" applyAlignment="1">
      <alignment horizontal="center" vertical="center"/>
    </xf>
    <xf numFmtId="0" fontId="15" fillId="2" borderId="9" xfId="0" applyFont="1" applyFill="1" applyBorder="1" applyAlignment="1">
      <alignment horizontal="center"/>
    </xf>
    <xf numFmtId="0" fontId="15" fillId="2" borderId="10" xfId="0" applyFont="1" applyFill="1" applyBorder="1" applyAlignment="1">
      <alignment horizontal="center"/>
    </xf>
  </cellXfs>
  <cellStyles count="4">
    <cellStyle name="Currency" xfId="3" builtinId="4"/>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30480</xdr:colOff>
          <xdr:row>5</xdr:row>
          <xdr:rowOff>83820</xdr:rowOff>
        </xdr:from>
        <xdr:to>
          <xdr:col>19</xdr:col>
          <xdr:colOff>251460</xdr:colOff>
          <xdr:row>10</xdr:row>
          <xdr:rowOff>60960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800" b="0" i="0" u="none" strike="noStrike" baseline="0">
                  <a:solidFill>
                    <a:srgbClr val="000000"/>
                  </a:solidFill>
                  <a:latin typeface="Calibri"/>
                  <a:cs typeface="Calibri"/>
                </a:rPr>
                <a:t>Click Me</a:t>
              </a:r>
            </a:p>
          </xdr:txBody>
        </xdr:sp>
        <xdr:clientData fPrintsWithSheet="0"/>
      </xdr:twoCellAnchor>
    </mc:Choice>
    <mc:Fallback/>
  </mc:AlternateContent>
  <xdr:twoCellAnchor>
    <xdr:from>
      <xdr:col>22</xdr:col>
      <xdr:colOff>146535</xdr:colOff>
      <xdr:row>5</xdr:row>
      <xdr:rowOff>10584</xdr:rowOff>
    </xdr:from>
    <xdr:to>
      <xdr:col>24</xdr:col>
      <xdr:colOff>567426</xdr:colOff>
      <xdr:row>10</xdr:row>
      <xdr:rowOff>168519</xdr:rowOff>
    </xdr:to>
    <xdr:sp macro="" textlink="$M$1">
      <xdr:nvSpPr>
        <xdr:cNvPr id="12" name="TextBox 11">
          <a:extLst>
            <a:ext uri="{FF2B5EF4-FFF2-40B4-BE49-F238E27FC236}">
              <a16:creationId xmlns:a16="http://schemas.microsoft.com/office/drawing/2014/main" id="{00000000-0008-0000-0000-00000C000000}"/>
            </a:ext>
          </a:extLst>
        </xdr:cNvPr>
        <xdr:cNvSpPr txBox="1"/>
      </xdr:nvSpPr>
      <xdr:spPr>
        <a:xfrm>
          <a:off x="5057202" y="1005417"/>
          <a:ext cx="1648557" cy="1121019"/>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5BCF2DE-12E1-4D55-A352-535C308F49FF}" type="TxLink">
            <a:rPr lang="en-US" sz="2800" b="1" i="0" u="none" strike="noStrike">
              <a:solidFill>
                <a:schemeClr val="bg1"/>
              </a:solidFill>
              <a:latin typeface="Arial"/>
              <a:cs typeface="Arial"/>
            </a:rPr>
            <a:pPr algn="ctr"/>
            <a:t>00:00</a:t>
          </a:fld>
          <a:endParaRPr lang="en-US" sz="400000" b="1">
            <a:solidFill>
              <a:schemeClr val="bg1"/>
            </a:solidFill>
          </a:endParaRPr>
        </a:p>
      </xdr:txBody>
    </xdr:sp>
    <xdr:clientData/>
  </xdr:twoCellAnchor>
  <xdr:twoCellAnchor>
    <xdr:from>
      <xdr:col>20</xdr:col>
      <xdr:colOff>116413</xdr:colOff>
      <xdr:row>12</xdr:row>
      <xdr:rowOff>94435</xdr:rowOff>
    </xdr:from>
    <xdr:to>
      <xdr:col>23</xdr:col>
      <xdr:colOff>275166</xdr:colOff>
      <xdr:row>17</xdr:row>
      <xdr:rowOff>190501</xdr:rowOff>
    </xdr:to>
    <xdr:sp macro="" textlink="$J$2">
      <xdr:nvSpPr>
        <xdr:cNvPr id="13" name="TextBox 12">
          <a:extLst>
            <a:ext uri="{FF2B5EF4-FFF2-40B4-BE49-F238E27FC236}">
              <a16:creationId xmlns:a16="http://schemas.microsoft.com/office/drawing/2014/main" id="{00000000-0008-0000-0000-00000D000000}"/>
            </a:ext>
          </a:extLst>
        </xdr:cNvPr>
        <xdr:cNvSpPr txBox="1"/>
      </xdr:nvSpPr>
      <xdr:spPr>
        <a:xfrm>
          <a:off x="3989913" y="2496852"/>
          <a:ext cx="2095503" cy="1101482"/>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380668-9855-4E1B-8346-55BC450E1852}" type="TxLink">
            <a:rPr lang="en-US" sz="2400" b="1" i="0" u="none" strike="noStrike">
              <a:solidFill>
                <a:schemeClr val="bg1"/>
              </a:solidFill>
              <a:latin typeface="Arial"/>
              <a:cs typeface="Arial"/>
            </a:rPr>
            <a:pPr algn="ctr"/>
            <a:t>1</a:t>
          </a:fld>
          <a:endParaRPr lang="en-US" sz="2400" b="1">
            <a:solidFill>
              <a:schemeClr val="bg1"/>
            </a:solidFill>
          </a:endParaRPr>
        </a:p>
      </xdr:txBody>
    </xdr:sp>
    <xdr:clientData/>
  </xdr:twoCellAnchor>
  <xdr:twoCellAnchor>
    <xdr:from>
      <xdr:col>20</xdr:col>
      <xdr:colOff>116415</xdr:colOff>
      <xdr:row>21</xdr:row>
      <xdr:rowOff>42333</xdr:rowOff>
    </xdr:from>
    <xdr:to>
      <xdr:col>23</xdr:col>
      <xdr:colOff>296333</xdr:colOff>
      <xdr:row>26</xdr:row>
      <xdr:rowOff>179102</xdr:rowOff>
    </xdr:to>
    <xdr:sp macro="" textlink="$J$3">
      <xdr:nvSpPr>
        <xdr:cNvPr id="14" name="TextBox 13">
          <a:extLst>
            <a:ext uri="{FF2B5EF4-FFF2-40B4-BE49-F238E27FC236}">
              <a16:creationId xmlns:a16="http://schemas.microsoft.com/office/drawing/2014/main" id="{00000000-0008-0000-0000-00000E000000}"/>
            </a:ext>
          </a:extLst>
        </xdr:cNvPr>
        <xdr:cNvSpPr txBox="1"/>
      </xdr:nvSpPr>
      <xdr:spPr>
        <a:xfrm>
          <a:off x="3989915" y="4254500"/>
          <a:ext cx="2116668" cy="114218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CCBCFB6-BDCA-4D5D-9DBB-74BFCAC13977}" type="TxLink">
            <a:rPr lang="en-US" sz="2400" b="1" i="0" u="none" strike="noStrike">
              <a:solidFill>
                <a:schemeClr val="bg1"/>
              </a:solidFill>
              <a:latin typeface="Arial"/>
              <a:cs typeface="Arial"/>
            </a:rPr>
            <a:pPr algn="ctr"/>
            <a:t>1</a:t>
          </a:fld>
          <a:endParaRPr lang="en-US" sz="2400" b="1">
            <a:solidFill>
              <a:schemeClr val="bg1"/>
            </a:solidFill>
          </a:endParaRPr>
        </a:p>
      </xdr:txBody>
    </xdr:sp>
    <xdr:clientData/>
  </xdr:twoCellAnchor>
  <xdr:twoCellAnchor>
    <xdr:from>
      <xdr:col>23</xdr:col>
      <xdr:colOff>645582</xdr:colOff>
      <xdr:row>12</xdr:row>
      <xdr:rowOff>94434</xdr:rowOff>
    </xdr:from>
    <xdr:to>
      <xdr:col>27</xdr:col>
      <xdr:colOff>408516</xdr:colOff>
      <xdr:row>17</xdr:row>
      <xdr:rowOff>190500</xdr:rowOff>
    </xdr:to>
    <xdr:sp macro="" textlink="$K$2">
      <xdr:nvSpPr>
        <xdr:cNvPr id="15" name="TextBox 14">
          <a:extLst>
            <a:ext uri="{FF2B5EF4-FFF2-40B4-BE49-F238E27FC236}">
              <a16:creationId xmlns:a16="http://schemas.microsoft.com/office/drawing/2014/main" id="{00000000-0008-0000-0000-00000F000000}"/>
            </a:ext>
          </a:extLst>
        </xdr:cNvPr>
        <xdr:cNvSpPr txBox="1"/>
      </xdr:nvSpPr>
      <xdr:spPr>
        <a:xfrm>
          <a:off x="6455832" y="2496851"/>
          <a:ext cx="2345267" cy="1101482"/>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F6D538-5CB3-4761-82EE-88F4F824A8D2}" type="TxLink">
            <a:rPr lang="en-US" sz="2400" b="1" i="0" u="none" strike="noStrike">
              <a:solidFill>
                <a:schemeClr val="bg1"/>
              </a:solidFill>
              <a:latin typeface="Arial"/>
              <a:cs typeface="Arial"/>
            </a:rPr>
            <a:pPr algn="ctr"/>
            <a:t>Hershey</a:t>
          </a:fld>
          <a:endParaRPr lang="en-US" sz="2400" b="1">
            <a:solidFill>
              <a:schemeClr val="bg1"/>
            </a:solidFill>
          </a:endParaRPr>
        </a:p>
      </xdr:txBody>
    </xdr:sp>
    <xdr:clientData/>
  </xdr:twoCellAnchor>
  <xdr:twoCellAnchor>
    <xdr:from>
      <xdr:col>24</xdr:col>
      <xdr:colOff>4233</xdr:colOff>
      <xdr:row>21</xdr:row>
      <xdr:rowOff>52916</xdr:rowOff>
    </xdr:from>
    <xdr:to>
      <xdr:col>27</xdr:col>
      <xdr:colOff>412750</xdr:colOff>
      <xdr:row>26</xdr:row>
      <xdr:rowOff>193918</xdr:rowOff>
    </xdr:to>
    <xdr:sp macro="" textlink="$K$3">
      <xdr:nvSpPr>
        <xdr:cNvPr id="16" name="TextBox 15">
          <a:extLst>
            <a:ext uri="{FF2B5EF4-FFF2-40B4-BE49-F238E27FC236}">
              <a16:creationId xmlns:a16="http://schemas.microsoft.com/office/drawing/2014/main" id="{00000000-0008-0000-0000-000010000000}"/>
            </a:ext>
          </a:extLst>
        </xdr:cNvPr>
        <xdr:cNvSpPr txBox="1"/>
      </xdr:nvSpPr>
      <xdr:spPr>
        <a:xfrm>
          <a:off x="6460066" y="4265083"/>
          <a:ext cx="2345267" cy="1146418"/>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D54BDC4-2799-48CC-B7DD-53F74F7767C4}" type="TxLink">
            <a:rPr lang="en-US" sz="2400" b="1" i="0" u="none" strike="noStrike">
              <a:solidFill>
                <a:schemeClr val="bg1"/>
              </a:solidFill>
              <a:latin typeface="Arial"/>
              <a:cs typeface="Arial"/>
            </a:rPr>
            <a:pPr algn="ctr"/>
            <a:t>Sunflower Biscuit</a:t>
          </a:fld>
          <a:endParaRPr lang="en-US" sz="2400" b="1">
            <a:solidFill>
              <a:schemeClr val="bg1"/>
            </a:solidFill>
          </a:endParaRPr>
        </a:p>
      </xdr:txBody>
    </xdr:sp>
    <xdr:clientData/>
  </xdr:twoCellAnchor>
  <xdr:twoCellAnchor>
    <xdr:from>
      <xdr:col>29</xdr:col>
      <xdr:colOff>52916</xdr:colOff>
      <xdr:row>12</xdr:row>
      <xdr:rowOff>83852</xdr:rowOff>
    </xdr:from>
    <xdr:to>
      <xdr:col>38</xdr:col>
      <xdr:colOff>359834</xdr:colOff>
      <xdr:row>26</xdr:row>
      <xdr:rowOff>190501</xdr:rowOff>
    </xdr:to>
    <xdr:sp macro="" textlink="$J$6">
      <xdr:nvSpPr>
        <xdr:cNvPr id="17" name="TextBox 16">
          <a:extLst>
            <a:ext uri="{FF2B5EF4-FFF2-40B4-BE49-F238E27FC236}">
              <a16:creationId xmlns:a16="http://schemas.microsoft.com/office/drawing/2014/main" id="{00000000-0008-0000-0000-000011000000}"/>
            </a:ext>
          </a:extLst>
        </xdr:cNvPr>
        <xdr:cNvSpPr txBox="1"/>
      </xdr:nvSpPr>
      <xdr:spPr>
        <a:xfrm>
          <a:off x="9736666" y="2486269"/>
          <a:ext cx="6117168" cy="292181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E3949B9-8BBE-48B9-93B9-194380B3288B}" type="TxLink">
            <a:rPr lang="en-US" sz="3200" b="0" i="0" u="none" strike="noStrike">
              <a:solidFill>
                <a:schemeClr val="bg1"/>
              </a:solidFill>
              <a:latin typeface="Arial"/>
              <a:cs typeface="Arial"/>
            </a:rPr>
            <a:pPr algn="ctr"/>
            <a:t>Two roads diverged in a wood, and I—I took the one less traveled by, And that has made all the difference. </a:t>
          </a:fld>
          <a:endParaRPr lang="en-US" sz="2800" b="0">
            <a:solidFill>
              <a:schemeClr val="bg1"/>
            </a:solidFill>
          </a:endParaRPr>
        </a:p>
      </xdr:txBody>
    </xdr:sp>
    <xdr:clientData/>
  </xdr:twoCellAnchor>
  <xdr:twoCellAnchor>
    <xdr:from>
      <xdr:col>30</xdr:col>
      <xdr:colOff>497417</xdr:colOff>
      <xdr:row>4</xdr:row>
      <xdr:rowOff>105016</xdr:rowOff>
    </xdr:from>
    <xdr:to>
      <xdr:col>36</xdr:col>
      <xdr:colOff>317501</xdr:colOff>
      <xdr:row>11</xdr:row>
      <xdr:rowOff>25398</xdr:rowOff>
    </xdr:to>
    <xdr:sp macro="" textlink="">
      <xdr:nvSpPr>
        <xdr:cNvPr id="20" name="Rectangle 19">
          <a:extLst>
            <a:ext uri="{FF2B5EF4-FFF2-40B4-BE49-F238E27FC236}">
              <a16:creationId xmlns:a16="http://schemas.microsoft.com/office/drawing/2014/main" id="{00000000-0008-0000-0000-000014000000}"/>
            </a:ext>
          </a:extLst>
        </xdr:cNvPr>
        <xdr:cNvSpPr/>
      </xdr:nvSpPr>
      <xdr:spPr>
        <a:xfrm>
          <a:off x="10826750" y="909349"/>
          <a:ext cx="3693584" cy="1317382"/>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Arial" panose="020B0604020202020204" pitchFamily="34" charset="0"/>
              <a:cs typeface="Arial" panose="020B0604020202020204" pitchFamily="34" charset="0"/>
            </a:rPr>
            <a:t>Your Fortune Message</a:t>
          </a:r>
          <a:r>
            <a:rPr lang="en-US" sz="2400" b="1" baseline="0">
              <a:latin typeface="Arial" panose="020B0604020202020204" pitchFamily="34" charset="0"/>
              <a:cs typeface="Arial" panose="020B0604020202020204" pitchFamily="34" charset="0"/>
            </a:rPr>
            <a:t> of the Day</a:t>
          </a:r>
        </a:p>
      </xdr:txBody>
    </xdr:sp>
    <xdr:clientData/>
  </xdr:twoCellAnchor>
  <xdr:twoCellAnchor>
    <xdr:from>
      <xdr:col>15</xdr:col>
      <xdr:colOff>444500</xdr:colOff>
      <xdr:row>12</xdr:row>
      <xdr:rowOff>105834</xdr:rowOff>
    </xdr:from>
    <xdr:to>
      <xdr:col>19</xdr:col>
      <xdr:colOff>402167</xdr:colOff>
      <xdr:row>17</xdr:row>
      <xdr:rowOff>179918</xdr:rowOff>
    </xdr:to>
    <xdr:sp macro="" textlink="">
      <xdr:nvSpPr>
        <xdr:cNvPr id="23" name="Rectangle 22">
          <a:extLst>
            <a:ext uri="{FF2B5EF4-FFF2-40B4-BE49-F238E27FC236}">
              <a16:creationId xmlns:a16="http://schemas.microsoft.com/office/drawing/2014/main" id="{00000000-0008-0000-0000-000017000000}"/>
            </a:ext>
          </a:extLst>
        </xdr:cNvPr>
        <xdr:cNvSpPr/>
      </xdr:nvSpPr>
      <xdr:spPr>
        <a:xfrm>
          <a:off x="1090083" y="2508251"/>
          <a:ext cx="2540001" cy="107950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a:latin typeface="Arial" panose="020B0604020202020204" pitchFamily="34" charset="0"/>
              <a:cs typeface="Arial" panose="020B0604020202020204" pitchFamily="34" charset="0"/>
            </a:rPr>
            <a:t>Get </a:t>
          </a:r>
          <a:endParaRPr lang="en-US" sz="2800" b="1" baseline="0">
            <a:latin typeface="Arial" panose="020B0604020202020204" pitchFamily="34" charset="0"/>
            <a:cs typeface="Arial" panose="020B0604020202020204" pitchFamily="34" charset="0"/>
          </a:endParaRPr>
        </a:p>
      </xdr:txBody>
    </xdr:sp>
    <xdr:clientData/>
  </xdr:twoCellAnchor>
  <xdr:twoCellAnchor>
    <xdr:from>
      <xdr:col>15</xdr:col>
      <xdr:colOff>444500</xdr:colOff>
      <xdr:row>21</xdr:row>
      <xdr:rowOff>52916</xdr:rowOff>
    </xdr:from>
    <xdr:to>
      <xdr:col>19</xdr:col>
      <xdr:colOff>359832</xdr:colOff>
      <xdr:row>26</xdr:row>
      <xdr:rowOff>148168</xdr:rowOff>
    </xdr:to>
    <xdr:sp macro="" textlink="">
      <xdr:nvSpPr>
        <xdr:cNvPr id="24" name="Rectangle 23">
          <a:extLst>
            <a:ext uri="{FF2B5EF4-FFF2-40B4-BE49-F238E27FC236}">
              <a16:creationId xmlns:a16="http://schemas.microsoft.com/office/drawing/2014/main" id="{00000000-0008-0000-0000-000018000000}"/>
            </a:ext>
          </a:extLst>
        </xdr:cNvPr>
        <xdr:cNvSpPr/>
      </xdr:nvSpPr>
      <xdr:spPr>
        <a:xfrm>
          <a:off x="1090083" y="4265083"/>
          <a:ext cx="2497666" cy="1100668"/>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a:latin typeface="Arial" panose="020B0604020202020204" pitchFamily="34" charset="0"/>
              <a:cs typeface="Arial" panose="020B0604020202020204" pitchFamily="34" charset="0"/>
            </a:rPr>
            <a:t>And another</a:t>
          </a:r>
          <a:endParaRPr lang="en-US" sz="2800" b="1" baseline="0">
            <a:latin typeface="Arial" panose="020B0604020202020204" pitchFamily="34" charset="0"/>
            <a:cs typeface="Arial" panose="020B0604020202020204"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hyperlink" Target="https://twitter.com/intent/tweet?url=http%3A%2F%2Fwww.forbes.com%2Fsites%2Fkevinkruse%2F2013%2F05%2F28%2Finspirational-quotes%2F&amp;text=Life%20is%20about%20making%20an%20impact%2C%20not%20making%20an%20income.%20--Kevin%20%40Kruse"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19"/>
  <sheetViews>
    <sheetView showGridLines="0" tabSelected="1" topLeftCell="O1" zoomScale="60" zoomScaleNormal="60" workbookViewId="0">
      <selection activeCell="AA33" sqref="AA33"/>
    </sheetView>
  </sheetViews>
  <sheetFormatPr defaultColWidth="9.109375" defaultRowHeight="15" outlineLevelCol="1" x14ac:dyDescent="0.25"/>
  <cols>
    <col min="1" max="1" width="12.44140625" style="1" hidden="1" customWidth="1" outlineLevel="1"/>
    <col min="2" max="2" width="5.109375" style="2" hidden="1" customWidth="1" outlineLevel="1"/>
    <col min="3" max="3" width="14" style="1" hidden="1" customWidth="1" outlineLevel="1"/>
    <col min="4" max="8" width="9.109375" style="1" hidden="1" customWidth="1" outlineLevel="1"/>
    <col min="9" max="9" width="32.6640625" style="1" hidden="1" customWidth="1" outlineLevel="1"/>
    <col min="10" max="10" width="6.5546875" style="2" hidden="1" customWidth="1" outlineLevel="1"/>
    <col min="11" max="11" width="9.109375" style="1" hidden="1" customWidth="1" outlineLevel="1"/>
    <col min="12" max="12" width="11" style="1" hidden="1" customWidth="1" outlineLevel="1"/>
    <col min="13" max="13" width="8.88671875" style="1" hidden="1" customWidth="1" outlineLevel="1"/>
    <col min="14" max="14" width="15.33203125" style="1" hidden="1" customWidth="1" outlineLevel="1"/>
    <col min="15" max="15" width="9.109375" style="1" collapsed="1"/>
    <col min="16" max="33" width="9.109375" style="1"/>
    <col min="34" max="44" width="9.109375" style="1" customWidth="1"/>
    <col min="45" max="16384" width="9.109375" style="1"/>
  </cols>
  <sheetData>
    <row r="1" spans="1:14" x14ac:dyDescent="0.25">
      <c r="A1" s="1" t="s">
        <v>126</v>
      </c>
      <c r="B1" s="2">
        <v>1</v>
      </c>
      <c r="C1" s="1" t="s">
        <v>0</v>
      </c>
      <c r="M1" s="8">
        <v>0</v>
      </c>
      <c r="N1" s="8">
        <v>2.0833333333333333E-3</v>
      </c>
    </row>
    <row r="2" spans="1:14" ht="15.6" x14ac:dyDescent="0.3">
      <c r="B2" s="2">
        <v>2</v>
      </c>
      <c r="C2" s="1" t="s">
        <v>1</v>
      </c>
      <c r="I2" s="3" t="s">
        <v>3</v>
      </c>
      <c r="J2" s="4">
        <f ca="1">INDEX($B:$B,RANDBETWEEN(1,COUNTA($B:$B)),1)</f>
        <v>1</v>
      </c>
      <c r="K2" s="32" t="str">
        <f ca="1">INDEX($C:$C,RANDBETWEEN(1,COUNTA($C:$C)),1)</f>
        <v>Hershey</v>
      </c>
      <c r="L2" s="32"/>
    </row>
    <row r="3" spans="1:14" ht="15.6" x14ac:dyDescent="0.3">
      <c r="B3" s="2">
        <v>3</v>
      </c>
      <c r="C3" s="1" t="s">
        <v>2</v>
      </c>
      <c r="I3" s="3" t="s">
        <v>4</v>
      </c>
      <c r="J3" s="4">
        <f ca="1">INDEX($B:$B,RANDBETWEEN(1,COUNTA($B:$B)),1)</f>
        <v>1</v>
      </c>
      <c r="K3" s="32" t="str">
        <f ca="1">INDEX($C:$C,RANDBETWEEN(1,COUNTA($C:$C)),1)</f>
        <v>Sunflower Biscuit</v>
      </c>
      <c r="L3" s="32"/>
    </row>
    <row r="4" spans="1:14" ht="15.6" x14ac:dyDescent="0.3">
      <c r="B4" s="2">
        <v>1</v>
      </c>
      <c r="C4" s="1" t="s">
        <v>7</v>
      </c>
      <c r="I4" s="3" t="s">
        <v>4</v>
      </c>
      <c r="J4" s="4">
        <f ca="1">INDEX($B:$B,RANDBETWEEN(1,COUNTA($B:$B)),1)</f>
        <v>1</v>
      </c>
      <c r="K4" s="32" t="str">
        <f ca="1">INDEX($C:$C,RANDBETWEEN(1,COUNTA($C:$C)),1)</f>
        <v>Kitkat</v>
      </c>
      <c r="L4" s="32"/>
      <c r="N4" s="6"/>
    </row>
    <row r="5" spans="1:14" ht="15.6" x14ac:dyDescent="0.3">
      <c r="B5" s="2">
        <v>2</v>
      </c>
      <c r="C5" s="1" t="s">
        <v>8</v>
      </c>
      <c r="I5" s="3"/>
      <c r="J5" s="4"/>
      <c r="K5" s="5"/>
      <c r="L5" s="5"/>
      <c r="N5" s="6"/>
    </row>
    <row r="6" spans="1:14" ht="15" customHeight="1" x14ac:dyDescent="0.25">
      <c r="B6" s="2">
        <v>1</v>
      </c>
      <c r="C6" s="1" t="s">
        <v>9</v>
      </c>
      <c r="J6" s="31" t="str">
        <f ca="1">INDEX(Sheet2!$D:$D,RANDBETWEEN(1,COUNTA(Sheet2!$D:$D)),1)</f>
        <v>Two roads diverged in a wood, and I—I took the one less traveled by, And that has made all the difference. </v>
      </c>
      <c r="K6" s="31"/>
      <c r="L6" s="31"/>
    </row>
    <row r="7" spans="1:14" ht="15.6" x14ac:dyDescent="0.3">
      <c r="B7" s="2">
        <v>1</v>
      </c>
      <c r="C7" s="1" t="s">
        <v>84</v>
      </c>
      <c r="I7" s="3" t="s">
        <v>5</v>
      </c>
      <c r="J7" s="31"/>
      <c r="K7" s="31"/>
      <c r="L7" s="31"/>
    </row>
    <row r="8" spans="1:14" x14ac:dyDescent="0.25">
      <c r="B8" s="2">
        <v>1</v>
      </c>
      <c r="C8" s="1" t="s">
        <v>85</v>
      </c>
      <c r="J8" s="31"/>
      <c r="K8" s="31"/>
      <c r="L8" s="31"/>
    </row>
    <row r="9" spans="1:14" x14ac:dyDescent="0.25">
      <c r="B9" s="2">
        <v>1</v>
      </c>
      <c r="C9" s="1" t="s">
        <v>86</v>
      </c>
    </row>
    <row r="10" spans="1:14" x14ac:dyDescent="0.25">
      <c r="B10" s="2">
        <v>1</v>
      </c>
      <c r="C10" s="1" t="s">
        <v>121</v>
      </c>
      <c r="E10" s="7"/>
      <c r="I10" s="1" t="s">
        <v>83</v>
      </c>
    </row>
    <row r="11" spans="1:14" x14ac:dyDescent="0.25">
      <c r="B11" s="28">
        <v>1</v>
      </c>
      <c r="C11" s="1" t="s">
        <v>123</v>
      </c>
      <c r="E11" s="7"/>
    </row>
    <row r="12" spans="1:14" x14ac:dyDescent="0.25">
      <c r="B12" s="2">
        <v>1</v>
      </c>
      <c r="C12" s="1" t="s">
        <v>124</v>
      </c>
    </row>
    <row r="13" spans="1:14" x14ac:dyDescent="0.25">
      <c r="B13" s="2">
        <v>1</v>
      </c>
      <c r="E13" s="1" t="s">
        <v>6</v>
      </c>
    </row>
    <row r="14" spans="1:14" ht="15.6" x14ac:dyDescent="0.25">
      <c r="B14" s="2">
        <v>1</v>
      </c>
      <c r="E14" s="4">
        <v>1</v>
      </c>
      <c r="F14" s="9">
        <f>COUNTIF($B:$B, E14)/COUNTA($B:$B)</f>
        <v>0.75</v>
      </c>
    </row>
    <row r="15" spans="1:14" ht="15.6" x14ac:dyDescent="0.25">
      <c r="B15" s="2">
        <v>1</v>
      </c>
      <c r="E15" s="4">
        <v>2</v>
      </c>
      <c r="F15" s="9">
        <f>COUNTIF($B:$B, E15)/COUNTA($B:$B)</f>
        <v>0.1875</v>
      </c>
    </row>
    <row r="16" spans="1:14" ht="15.6" x14ac:dyDescent="0.25">
      <c r="B16" s="2">
        <v>2</v>
      </c>
      <c r="E16" s="4">
        <v>3</v>
      </c>
      <c r="F16" s="9">
        <f>COUNTIF($B:$B, E16)/COUNTA($B:$B)</f>
        <v>6.25E-2</v>
      </c>
    </row>
    <row r="17" spans="5:5" x14ac:dyDescent="0.25">
      <c r="E17" s="7"/>
    </row>
    <row r="18" spans="5:5" x14ac:dyDescent="0.25">
      <c r="E18" s="7"/>
    </row>
    <row r="19" spans="5:5" x14ac:dyDescent="0.25">
      <c r="E19" s="7"/>
    </row>
  </sheetData>
  <mergeCells count="4">
    <mergeCell ref="J6:L8"/>
    <mergeCell ref="K2:L2"/>
    <mergeCell ref="K3:L3"/>
    <mergeCell ref="K4:L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1.Button1_Click">
                <anchor moveWithCells="1" sizeWithCells="1">
                  <from>
                    <xdr:col>16</xdr:col>
                    <xdr:colOff>30480</xdr:colOff>
                    <xdr:row>5</xdr:row>
                    <xdr:rowOff>83820</xdr:rowOff>
                  </from>
                  <to>
                    <xdr:col>19</xdr:col>
                    <xdr:colOff>251460</xdr:colOff>
                    <xdr:row>10</xdr:row>
                    <xdr:rowOff>60960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73"/>
  <sheetViews>
    <sheetView topLeftCell="D5" workbookViewId="0">
      <selection activeCell="D17" sqref="D17:D19"/>
    </sheetView>
  </sheetViews>
  <sheetFormatPr defaultRowHeight="14.4" outlineLevelCol="1" x14ac:dyDescent="0.3"/>
  <cols>
    <col min="1" max="1" width="120.109375" hidden="1" customWidth="1" outlineLevel="1"/>
    <col min="2" max="3" width="8.6640625" hidden="1" customWidth="1" outlineLevel="1"/>
    <col min="4" max="4" width="64.5546875" customWidth="1" collapsed="1"/>
  </cols>
  <sheetData>
    <row r="1" spans="1:4" x14ac:dyDescent="0.3">
      <c r="A1" s="10" t="s">
        <v>10</v>
      </c>
      <c r="B1">
        <f>IFERROR(FIND("–",A1),FIND("-",A1))</f>
        <v>59</v>
      </c>
      <c r="C1" t="str">
        <f>TRIM(LEFT(A1, 3))</f>
        <v>1. </v>
      </c>
      <c r="D1" s="12" t="str">
        <f>TRIM(MID(A1,FIND(".",A1)+2,B1-5))</f>
        <v> Life is about making an impact, not making an income.</v>
      </c>
    </row>
    <row r="2" spans="1:4" ht="18" x14ac:dyDescent="0.3">
      <c r="A2" s="11" t="s">
        <v>11</v>
      </c>
      <c r="B2">
        <f t="shared" ref="B2:B60" si="0">IFERROR(FIND("–",A2),FIND("-",A2))</f>
        <v>71</v>
      </c>
      <c r="C2" t="str">
        <f t="shared" ref="C2:C65" si="1">TRIM(LEFT(A2, 3))</f>
        <v>2.</v>
      </c>
      <c r="D2" t="str">
        <f t="shared" ref="D2:D65" si="2">TRIM(MID(A2,FIND(".",A2)+2,B2-5))</f>
        <v>Whatever the mind of man can conceive and believe, it can achieve.</v>
      </c>
    </row>
    <row r="3" spans="1:4" ht="18" x14ac:dyDescent="0.3">
      <c r="A3" s="11" t="s">
        <v>12</v>
      </c>
      <c r="B3">
        <f t="shared" si="0"/>
        <v>59</v>
      </c>
      <c r="C3" t="str">
        <f t="shared" si="1"/>
        <v>3.</v>
      </c>
      <c r="D3" t="str">
        <f t="shared" si="2"/>
        <v>Strive not to be a success, but rather to be of value.</v>
      </c>
    </row>
    <row r="4" spans="1:4" ht="18" x14ac:dyDescent="0.3">
      <c r="A4" s="11" t="s">
        <v>13</v>
      </c>
      <c r="B4">
        <f t="shared" si="0"/>
        <v>112</v>
      </c>
      <c r="C4" t="str">
        <f t="shared" si="1"/>
        <v>4.</v>
      </c>
      <c r="D4" t="str">
        <f t="shared" si="2"/>
        <v>Two roads diverged in a wood, and I—I took the one less traveled by, And that has made all the difference. </v>
      </c>
    </row>
    <row r="5" spans="1:4" ht="18" x14ac:dyDescent="0.3">
      <c r="A5" s="11" t="s">
        <v>14</v>
      </c>
      <c r="B5">
        <f t="shared" si="0"/>
        <v>69</v>
      </c>
      <c r="C5" t="str">
        <f t="shared" si="1"/>
        <v>5.</v>
      </c>
      <c r="D5" t="str">
        <f t="shared" si="2"/>
        <v>I attribute my success to this: I never gave or took any excuse.</v>
      </c>
    </row>
    <row r="6" spans="1:4" ht="18" x14ac:dyDescent="0.3">
      <c r="A6" s="11" t="s">
        <v>15</v>
      </c>
      <c r="B6">
        <f t="shared" si="0"/>
        <v>47</v>
      </c>
      <c r="C6" t="str">
        <f t="shared" si="1"/>
        <v>6.</v>
      </c>
      <c r="D6" t="str">
        <f t="shared" si="2"/>
        <v>You miss 100% of the shots you don’t take.</v>
      </c>
    </row>
    <row r="7" spans="1:4" ht="18" x14ac:dyDescent="0.3">
      <c r="A7" s="11" t="s">
        <v>16</v>
      </c>
      <c r="B7">
        <f t="shared" si="0"/>
        <v>228</v>
      </c>
      <c r="C7" t="str">
        <f t="shared" si="1"/>
        <v>7.</v>
      </c>
      <c r="D7" t="str">
        <f t="shared" si="2"/>
        <v>I've missed more than 9000 shots in my career. I've lost almost 300 games. 26 times I've been trusted to take the game winning shot and missed. I've failed over and over and over again in my life. And that is why I succeed.</v>
      </c>
    </row>
    <row r="8" spans="1:4" ht="18" x14ac:dyDescent="0.3">
      <c r="A8" s="11" t="s">
        <v>17</v>
      </c>
      <c r="B8">
        <f t="shared" si="0"/>
        <v>82</v>
      </c>
      <c r="C8" t="str">
        <f t="shared" si="1"/>
        <v>8.</v>
      </c>
      <c r="D8" t="str">
        <f t="shared" si="2"/>
        <v>The most difficult thing is the decision to act, the rest is merely tenacity.</v>
      </c>
    </row>
    <row r="9" spans="1:4" ht="18" x14ac:dyDescent="0.3">
      <c r="A9" s="11" t="s">
        <v>18</v>
      </c>
      <c r="B9">
        <f t="shared" si="0"/>
        <v>56</v>
      </c>
      <c r="C9" t="str">
        <f t="shared" si="1"/>
        <v>9.</v>
      </c>
      <c r="D9" t="str">
        <f t="shared" si="2"/>
        <v>Every strike brings me closer to the next home run.</v>
      </c>
    </row>
    <row r="10" spans="1:4" ht="18" x14ac:dyDescent="0.3">
      <c r="A10" s="11" t="s">
        <v>19</v>
      </c>
      <c r="B10">
        <f t="shared" si="0"/>
        <v>71</v>
      </c>
      <c r="C10" t="str">
        <f t="shared" si="1"/>
        <v>10.</v>
      </c>
      <c r="D10" t="str">
        <f t="shared" si="2"/>
        <v>Definiteness of purpose is the starting point of all achievement.</v>
      </c>
    </row>
    <row r="11" spans="1:4" ht="18" x14ac:dyDescent="0.3">
      <c r="A11" s="11" t="s">
        <v>20</v>
      </c>
      <c r="B11">
        <f t="shared" si="0"/>
        <v>71</v>
      </c>
      <c r="C11" t="str">
        <f t="shared" si="1"/>
        <v>11.</v>
      </c>
      <c r="D11" t="str">
        <f t="shared" si="2"/>
        <v>Life isn't about getting and having, it's about giving and being.</v>
      </c>
    </row>
    <row r="12" spans="1:4" ht="18" x14ac:dyDescent="0.3">
      <c r="A12" s="11" t="s">
        <v>21</v>
      </c>
      <c r="B12">
        <f t="shared" si="0"/>
        <v>71</v>
      </c>
      <c r="C12" t="str">
        <f t="shared" si="1"/>
        <v>12.</v>
      </c>
      <c r="D12" t="str">
        <f t="shared" si="2"/>
        <v>Life is what happens to you while you’re busy making other plans.</v>
      </c>
    </row>
    <row r="13" spans="1:4" ht="18" x14ac:dyDescent="0.3">
      <c r="A13" s="11" t="s">
        <v>22</v>
      </c>
      <c r="B13">
        <f t="shared" si="0"/>
        <v>36</v>
      </c>
      <c r="C13" t="str">
        <f t="shared" si="1"/>
        <v>13.</v>
      </c>
      <c r="D13" t="str">
        <f t="shared" si="2"/>
        <v>We become what we think about.</v>
      </c>
    </row>
    <row r="14" spans="1:4" ht="18" x14ac:dyDescent="0.3">
      <c r="A14" s="11" t="s">
        <v>23</v>
      </c>
      <c r="B14">
        <f t="shared" si="0"/>
        <v>237</v>
      </c>
      <c r="C14" t="str">
        <f t="shared" si="1"/>
        <v>14.</v>
      </c>
      <c r="D14" t="str">
        <f>TRIM(MID(A14,FIND(".",A14)+1,B14-5))</f>
        <v>Twenty years from now you will be more disappointed by the things that you didn’t do than by the ones you did do, so throw off the bowlines, sail away from safe harbor, catch the trade winds in your sails.  Explore, Dream, Discover.</v>
      </c>
    </row>
    <row r="15" spans="1:4" ht="18" x14ac:dyDescent="0.3">
      <c r="A15" s="11" t="s">
        <v>24</v>
      </c>
      <c r="B15">
        <f t="shared" si="0"/>
        <v>65</v>
      </c>
      <c r="C15" t="str">
        <f t="shared" si="1"/>
        <v>15.</v>
      </c>
      <c r="D15" t="str">
        <f>TRIM(MID(A15,FIND(".",A15)+1,B15-5))</f>
        <v>Life is 10% what happens to me and 90% of how I react to it.</v>
      </c>
    </row>
    <row r="16" spans="1:4" ht="18" x14ac:dyDescent="0.3">
      <c r="A16" s="11" t="s">
        <v>25</v>
      </c>
      <c r="B16">
        <f t="shared" si="0"/>
        <v>88</v>
      </c>
      <c r="C16" t="str">
        <f t="shared" si="1"/>
        <v>16.</v>
      </c>
      <c r="D16" t="str">
        <f t="shared" si="2"/>
        <v>The most common way people give up their power is by thinking they don’t have any.</v>
      </c>
    </row>
    <row r="17" spans="1:4" ht="18" x14ac:dyDescent="0.3">
      <c r="A17" s="11" t="s">
        <v>26</v>
      </c>
      <c r="B17">
        <f t="shared" si="0"/>
        <v>57</v>
      </c>
      <c r="C17" t="str">
        <f t="shared" si="1"/>
        <v>17.</v>
      </c>
      <c r="D17" t="str">
        <f t="shared" si="2"/>
        <v>The mind is everything. What you think you become. </v>
      </c>
    </row>
    <row r="18" spans="1:4" ht="18" x14ac:dyDescent="0.3">
      <c r="A18" s="11" t="s">
        <v>27</v>
      </c>
      <c r="B18">
        <f t="shared" si="0"/>
        <v>82</v>
      </c>
      <c r="C18" t="str">
        <f t="shared" si="1"/>
        <v>18.</v>
      </c>
      <c r="D18" t="str">
        <f t="shared" si="2"/>
        <v>The best time to plant a tree was 20 years ago. The second best time is now.</v>
      </c>
    </row>
    <row r="19" spans="1:4" ht="18" x14ac:dyDescent="0.3">
      <c r="A19" s="11" t="s">
        <v>28</v>
      </c>
      <c r="B19">
        <f t="shared" si="0"/>
        <v>45</v>
      </c>
      <c r="C19" t="str">
        <f t="shared" si="1"/>
        <v>19.</v>
      </c>
      <c r="D19" t="str">
        <f t="shared" si="2"/>
        <v>An unexamined life is not worth living.</v>
      </c>
    </row>
    <row r="20" spans="1:4" ht="18" x14ac:dyDescent="0.3">
      <c r="A20" s="11" t="s">
        <v>29</v>
      </c>
      <c r="B20">
        <f t="shared" si="0"/>
        <v>46</v>
      </c>
      <c r="C20" t="str">
        <f t="shared" si="1"/>
        <v>20.</v>
      </c>
      <c r="D20" t="str">
        <f t="shared" si="2"/>
        <v>Eighty percent of success is showing up.</v>
      </c>
    </row>
    <row r="21" spans="1:4" ht="18" x14ac:dyDescent="0.3">
      <c r="A21" s="11" t="s">
        <v>30</v>
      </c>
      <c r="B21">
        <f t="shared" si="0"/>
        <v>73</v>
      </c>
      <c r="C21" t="str">
        <f t="shared" si="1"/>
        <v>21.</v>
      </c>
      <c r="D21" t="str">
        <f t="shared" si="2"/>
        <v>Your time is limited, so don’t waste it living someone else’s life.</v>
      </c>
    </row>
    <row r="22" spans="1:4" ht="18" x14ac:dyDescent="0.3">
      <c r="A22" s="11" t="s">
        <v>31</v>
      </c>
      <c r="B22">
        <f t="shared" si="0"/>
        <v>54</v>
      </c>
      <c r="C22" t="str">
        <f t="shared" si="1"/>
        <v>22.</v>
      </c>
      <c r="D22" t="str">
        <f t="shared" si="2"/>
        <v>Winning isn’t everything, but wanting to win is.</v>
      </c>
    </row>
    <row r="23" spans="1:4" ht="18" x14ac:dyDescent="0.3">
      <c r="A23" s="11" t="s">
        <v>32</v>
      </c>
      <c r="B23">
        <f t="shared" si="0"/>
        <v>77</v>
      </c>
      <c r="C23" t="str">
        <f t="shared" si="1"/>
        <v>23.</v>
      </c>
      <c r="D23" t="str">
        <f t="shared" si="2"/>
        <v>I am not a product of my circumstances. I am a product of my decisions.</v>
      </c>
    </row>
    <row r="24" spans="1:4" ht="18" x14ac:dyDescent="0.3">
      <c r="A24" s="11" t="s">
        <v>33</v>
      </c>
      <c r="B24">
        <f t="shared" si="0"/>
        <v>89</v>
      </c>
      <c r="C24" t="str">
        <f t="shared" si="1"/>
        <v>24.</v>
      </c>
      <c r="D24" t="str">
        <f t="shared" si="2"/>
        <v>Every child is an artist.  The problem is how to remain an artist once he grows up.</v>
      </c>
    </row>
    <row r="25" spans="1:4" ht="18" x14ac:dyDescent="0.3">
      <c r="A25" s="11" t="s">
        <v>34</v>
      </c>
      <c r="B25">
        <f t="shared" si="0"/>
        <v>90</v>
      </c>
      <c r="C25" t="str">
        <f t="shared" si="1"/>
        <v>25.</v>
      </c>
      <c r="D25" t="str">
        <f t="shared" si="2"/>
        <v>You can never cross the ocean until you have the courage to lose sight of the shore.</v>
      </c>
    </row>
    <row r="26" spans="1:4" ht="18" x14ac:dyDescent="0.3">
      <c r="A26" s="11" t="s">
        <v>35</v>
      </c>
      <c r="B26">
        <f t="shared" si="0"/>
        <v>143</v>
      </c>
      <c r="C26" t="str">
        <f t="shared" si="1"/>
        <v>26.</v>
      </c>
      <c r="D26" t="str">
        <f t="shared" si="2"/>
        <v>I’ve learned that people will forget what you said, people will forget what you did, but people will never forget how you made them feel.</v>
      </c>
    </row>
    <row r="27" spans="1:4" ht="18" x14ac:dyDescent="0.3">
      <c r="A27" s="11" t="s">
        <v>36</v>
      </c>
      <c r="B27">
        <f t="shared" si="0"/>
        <v>50</v>
      </c>
      <c r="C27" t="str">
        <f t="shared" si="1"/>
        <v>27.</v>
      </c>
      <c r="D27" t="str">
        <f t="shared" si="2"/>
        <v>Either you run the day, or the day runs you.</v>
      </c>
    </row>
    <row r="28" spans="1:4" ht="18" x14ac:dyDescent="0.3">
      <c r="A28" s="11" t="s">
        <v>37</v>
      </c>
      <c r="B28">
        <f t="shared" si="0"/>
        <v>69</v>
      </c>
      <c r="C28" t="str">
        <f t="shared" si="1"/>
        <v>28.</v>
      </c>
      <c r="D28" t="str">
        <f t="shared" si="2"/>
        <v>Whether you think you can or you think you can’t, you’re right.</v>
      </c>
    </row>
    <row r="29" spans="1:4" ht="18" x14ac:dyDescent="0.3">
      <c r="A29" s="11" t="s">
        <v>38</v>
      </c>
      <c r="B29">
        <f t="shared" si="0"/>
        <v>101</v>
      </c>
      <c r="C29" t="str">
        <f t="shared" si="1"/>
        <v>29.</v>
      </c>
      <c r="D29" t="str">
        <f t="shared" si="2"/>
        <v>The two most important days in your life are the day you are born and the day you find out why.</v>
      </c>
    </row>
    <row r="30" spans="1:4" ht="18" x14ac:dyDescent="0.3">
      <c r="A30" s="11" t="s">
        <v>39</v>
      </c>
      <c r="B30">
        <f t="shared" si="0"/>
        <v>99</v>
      </c>
      <c r="C30" t="str">
        <f t="shared" si="1"/>
        <v>30.</v>
      </c>
      <c r="D30" t="str">
        <f t="shared" si="2"/>
        <v>Whatever you can do, or dream you can, begin it.  Boldness has genius, power and magic in it.</v>
      </c>
    </row>
    <row r="31" spans="1:4" ht="18" x14ac:dyDescent="0.3">
      <c r="A31" s="11" t="s">
        <v>40</v>
      </c>
      <c r="B31">
        <f t="shared" si="0"/>
        <v>42</v>
      </c>
      <c r="C31" t="str">
        <f t="shared" si="1"/>
        <v>31.</v>
      </c>
      <c r="D31" t="str">
        <f t="shared" si="2"/>
        <v>The best revenge is massive success.</v>
      </c>
    </row>
    <row r="32" spans="1:4" ht="18" x14ac:dyDescent="0.3">
      <c r="A32" s="11" t="s">
        <v>41</v>
      </c>
      <c r="B32">
        <f t="shared" si="0"/>
        <v>115</v>
      </c>
      <c r="C32" t="str">
        <f t="shared" si="1"/>
        <v>32.</v>
      </c>
      <c r="D32" t="str">
        <f t="shared" si="2"/>
        <v>People often say that motivation doesn’t last. Well, neither does bathing.  That’s why we recommend it daily.</v>
      </c>
    </row>
    <row r="33" spans="1:4" ht="18" x14ac:dyDescent="0.3">
      <c r="A33" s="11" t="s">
        <v>42</v>
      </c>
      <c r="B33">
        <f t="shared" si="0"/>
        <v>61</v>
      </c>
      <c r="C33" t="str">
        <f t="shared" si="1"/>
        <v>33.</v>
      </c>
      <c r="D33" t="str">
        <f t="shared" si="2"/>
        <v>Life shrinks or expands in proportion to one's courage.</v>
      </c>
    </row>
    <row r="34" spans="1:4" ht="18" x14ac:dyDescent="0.3">
      <c r="A34" s="11" t="s">
        <v>43</v>
      </c>
      <c r="B34">
        <f t="shared" si="0"/>
        <v>117</v>
      </c>
      <c r="C34" t="str">
        <f t="shared" si="1"/>
        <v>34.</v>
      </c>
      <c r="D34" t="str">
        <f t="shared" si="2"/>
        <v>If you hear a voice within you say “you cannot paint,” then by all means paint and that voice will be silenced.</v>
      </c>
    </row>
    <row r="35" spans="1:4" ht="18" x14ac:dyDescent="0.3">
      <c r="A35" s="11" t="s">
        <v>44</v>
      </c>
      <c r="B35">
        <f t="shared" si="0"/>
        <v>88</v>
      </c>
      <c r="C35" t="str">
        <f t="shared" si="1"/>
        <v>35.</v>
      </c>
      <c r="D35" t="str">
        <f t="shared" si="2"/>
        <v>There is only one way to avoid criticism: do nothing, say nothing, and be nothing.</v>
      </c>
    </row>
    <row r="36" spans="1:4" ht="18" x14ac:dyDescent="0.3">
      <c r="A36" s="11" t="s">
        <v>45</v>
      </c>
      <c r="B36">
        <f t="shared" si="0"/>
        <v>108</v>
      </c>
      <c r="C36" t="str">
        <f t="shared" si="1"/>
        <v>36.</v>
      </c>
      <c r="D36" t="str">
        <f t="shared" si="2"/>
        <v>Ask and it will be given to you; search, and you will find; knock and the door will be opened for you.</v>
      </c>
    </row>
    <row r="37" spans="1:4" ht="18" x14ac:dyDescent="0.3">
      <c r="A37" s="11" t="s">
        <v>46</v>
      </c>
      <c r="B37">
        <f t="shared" si="0"/>
        <v>80</v>
      </c>
      <c r="C37" t="str">
        <f t="shared" si="1"/>
        <v>37.</v>
      </c>
      <c r="D37" t="str">
        <f t="shared" si="2"/>
        <v>The only person you are destined to become is the person you decide to be.</v>
      </c>
    </row>
    <row r="38" spans="1:4" ht="18" x14ac:dyDescent="0.3">
      <c r="A38" s="11" t="s">
        <v>47</v>
      </c>
      <c r="B38">
        <f t="shared" si="0"/>
        <v>87</v>
      </c>
      <c r="C38" t="str">
        <f t="shared" si="1"/>
        <v>38.</v>
      </c>
      <c r="D38" t="str">
        <f t="shared" si="2"/>
        <v>Go confidently in the direction of your dreams.  Live the life you have imagined.</v>
      </c>
    </row>
    <row r="39" spans="1:4" ht="18" x14ac:dyDescent="0.3">
      <c r="A39" s="11" t="s">
        <v>48</v>
      </c>
      <c r="B39">
        <f t="shared" si="0"/>
        <v>161</v>
      </c>
      <c r="C39" t="str">
        <f t="shared" si="1"/>
        <v>39.</v>
      </c>
      <c r="D39" t="str">
        <f t="shared" si="2"/>
        <v>When I stand before God at the end of my life, I would hope that I would not have a single bit of talent left and could say, I used everything you gave me.</v>
      </c>
    </row>
    <row r="40" spans="1:4" ht="18" x14ac:dyDescent="0.3">
      <c r="A40" s="11" t="s">
        <v>49</v>
      </c>
      <c r="B40">
        <f t="shared" si="0"/>
        <v>122</v>
      </c>
      <c r="C40" t="str">
        <f t="shared" si="1"/>
        <v>40.</v>
      </c>
      <c r="D40" t="str">
        <f t="shared" si="2"/>
        <v>Few things can help an individual more than to place responsibility on him, and to let him know that you trust him. </v>
      </c>
    </row>
    <row r="41" spans="1:4" ht="18" x14ac:dyDescent="0.3">
      <c r="A41" s="11" t="s">
        <v>50</v>
      </c>
      <c r="B41">
        <f t="shared" si="0"/>
        <v>82</v>
      </c>
      <c r="C41" t="str">
        <f t="shared" si="1"/>
        <v>41.</v>
      </c>
      <c r="D41" t="str">
        <f t="shared" si="2"/>
        <v>Certain things catch your eye, but pursue only those that capture the heart.</v>
      </c>
    </row>
    <row r="42" spans="1:4" ht="18" x14ac:dyDescent="0.3">
      <c r="A42" s="11" t="s">
        <v>51</v>
      </c>
      <c r="B42">
        <f t="shared" si="0"/>
        <v>47</v>
      </c>
      <c r="C42" t="str">
        <f t="shared" si="1"/>
        <v>42.</v>
      </c>
      <c r="D42" t="str">
        <f t="shared" si="2"/>
        <v>Believe you can and you’re halfway there.</v>
      </c>
    </row>
    <row r="43" spans="1:4" ht="18" x14ac:dyDescent="0.3">
      <c r="A43" s="11" t="s">
        <v>52</v>
      </c>
      <c r="B43">
        <f t="shared" si="0"/>
        <v>65</v>
      </c>
      <c r="C43" t="str">
        <f t="shared" si="1"/>
        <v>43.</v>
      </c>
      <c r="D43" t="str">
        <f t="shared" si="2"/>
        <v>Everything you’ve ever wanted is on the other side of fear.</v>
      </c>
    </row>
    <row r="44" spans="1:4" ht="18" x14ac:dyDescent="0.3">
      <c r="A44" s="11" t="s">
        <v>53</v>
      </c>
      <c r="B44">
        <f t="shared" si="0"/>
        <v>124</v>
      </c>
      <c r="C44" t="str">
        <f t="shared" si="1"/>
        <v>44.</v>
      </c>
      <c r="D44" t="str">
        <f t="shared" si="2"/>
        <v>We can easily forgive a child who is afraid of the dark; the real tragedy of life is when men are afraid of the light.</v>
      </c>
    </row>
    <row r="45" spans="1:4" ht="18" x14ac:dyDescent="0.3">
      <c r="A45" s="11" t="s">
        <v>54</v>
      </c>
      <c r="B45">
        <f t="shared" si="0"/>
        <v>73</v>
      </c>
      <c r="C45" t="str">
        <f t="shared" si="1"/>
        <v>45.</v>
      </c>
      <c r="D45" t="str">
        <f t="shared" si="2"/>
        <v>Teach thy tongue to say, "I do not know," and thous shalt progress.</v>
      </c>
    </row>
    <row r="46" spans="1:4" ht="18" x14ac:dyDescent="0.3">
      <c r="A46" s="11" t="s">
        <v>55</v>
      </c>
      <c r="B46">
        <f t="shared" si="0"/>
        <v>63</v>
      </c>
      <c r="C46" t="str">
        <f t="shared" si="1"/>
        <v>46.</v>
      </c>
      <c r="D46" t="str">
        <f t="shared" si="2"/>
        <v>Start where you are. Use what you have.  Do what you can.</v>
      </c>
    </row>
    <row r="47" spans="1:4" ht="18" x14ac:dyDescent="0.3">
      <c r="A47" s="11" t="s">
        <v>56</v>
      </c>
      <c r="B47">
        <f t="shared" si="0"/>
        <v>282</v>
      </c>
      <c r="C47" t="str">
        <f t="shared" si="1"/>
        <v>47.</v>
      </c>
      <c r="D47" t="str">
        <f t="shared" si="2"/>
        <v>When I was 5 years old, my mother always told me that happiness was the key to life.  When I went to school, they asked me what I wanted to be when I grew up.  I wrote down ‘happy’.  They told me I didn’t understand the assignment, and I told them they didn’t understand life.</v>
      </c>
    </row>
    <row r="48" spans="1:4" ht="18" x14ac:dyDescent="0.3">
      <c r="A48" s="11" t="s">
        <v>57</v>
      </c>
      <c r="B48">
        <f t="shared" si="0"/>
        <v>42</v>
      </c>
      <c r="C48" t="str">
        <f t="shared" si="1"/>
        <v>48.</v>
      </c>
      <c r="D48" t="str">
        <f t="shared" si="2"/>
        <v>Fall seven times and stand up eight.</v>
      </c>
    </row>
    <row r="49" spans="1:4" ht="18" x14ac:dyDescent="0.3">
      <c r="A49" s="11" t="s">
        <v>58</v>
      </c>
      <c r="B49">
        <f t="shared" si="0"/>
        <v>156</v>
      </c>
      <c r="C49" t="str">
        <f t="shared" si="1"/>
        <v>49.</v>
      </c>
      <c r="D49" t="str">
        <f t="shared" si="2"/>
        <v>When one door of happiness closes, another opens, but often we look so long at the closed door that we do not see the one that has been opened for us.</v>
      </c>
    </row>
    <row r="50" spans="1:4" ht="18" x14ac:dyDescent="0.3">
      <c r="A50" s="11" t="s">
        <v>59</v>
      </c>
      <c r="B50">
        <f t="shared" si="0"/>
        <v>54</v>
      </c>
      <c r="C50" t="str">
        <f t="shared" si="1"/>
        <v>50.</v>
      </c>
      <c r="D50" t="str">
        <f t="shared" si="2"/>
        <v>Everything has beauty, but not everyone can see.</v>
      </c>
    </row>
    <row r="51" spans="1:4" ht="18" x14ac:dyDescent="0.3">
      <c r="A51" s="11" t="s">
        <v>60</v>
      </c>
      <c r="B51">
        <f t="shared" si="0"/>
        <v>101</v>
      </c>
      <c r="C51" t="str">
        <f t="shared" si="1"/>
        <v>51.</v>
      </c>
      <c r="D51" t="str">
        <f t="shared" si="2"/>
        <v>How wonderful it is that nobody need wait a single moment before starting to improve the world.</v>
      </c>
    </row>
    <row r="52" spans="1:4" ht="18" x14ac:dyDescent="0.3">
      <c r="A52" s="11" t="s">
        <v>61</v>
      </c>
      <c r="B52">
        <f t="shared" si="0"/>
        <v>59</v>
      </c>
      <c r="C52" t="str">
        <f t="shared" si="1"/>
        <v>52.</v>
      </c>
      <c r="D52" t="str">
        <f t="shared" si="2"/>
        <v>When I let go of what I am, I become what I might be.</v>
      </c>
    </row>
    <row r="53" spans="1:4" ht="18" x14ac:dyDescent="0.3">
      <c r="A53" s="11" t="s">
        <v>62</v>
      </c>
      <c r="B53">
        <f t="shared" si="0"/>
        <v>106</v>
      </c>
      <c r="C53" t="str">
        <f t="shared" si="1"/>
        <v>53.</v>
      </c>
      <c r="D53" t="str">
        <f t="shared" si="2"/>
        <v>Life is not measured by the number of breaths we take, but by the moments that take our breath away.</v>
      </c>
    </row>
    <row r="54" spans="1:4" ht="18" x14ac:dyDescent="0.3">
      <c r="A54" s="11" t="s">
        <v>63</v>
      </c>
      <c r="B54">
        <f t="shared" si="0"/>
        <v>76</v>
      </c>
      <c r="C54" t="str">
        <f t="shared" si="1"/>
        <v>54.</v>
      </c>
      <c r="D54" t="str">
        <f t="shared" si="2"/>
        <v>Happiness is not something readymade.  It comes from your own actions.</v>
      </c>
    </row>
    <row r="55" spans="1:4" ht="18" x14ac:dyDescent="0.3">
      <c r="A55" s="11" t="s">
        <v>64</v>
      </c>
      <c r="B55">
        <f t="shared" si="0"/>
        <v>82</v>
      </c>
      <c r="C55" t="str">
        <f t="shared" si="1"/>
        <v>55.</v>
      </c>
      <c r="D55" t="str">
        <f t="shared" si="2"/>
        <v>If you're offered a seat on a rocket ship, don't ask what seat! Just get on.</v>
      </c>
    </row>
    <row r="56" spans="1:4" ht="18" x14ac:dyDescent="0.3">
      <c r="A56" s="11" t="s">
        <v>65</v>
      </c>
      <c r="B56">
        <f t="shared" si="0"/>
        <v>210</v>
      </c>
      <c r="C56" t="str">
        <f t="shared" si="1"/>
        <v>56.</v>
      </c>
      <c r="D56" t="str">
        <f t="shared" si="2"/>
        <v>First, have a definite, clear practical ideal; a goal, an objective. Second, have the necessary means to achieve your ends; wisdom, money, materials, and methods. Third, adjust all your means to that end.</v>
      </c>
    </row>
    <row r="57" spans="1:4" ht="18" x14ac:dyDescent="0.3">
      <c r="A57" s="11" t="s">
        <v>66</v>
      </c>
      <c r="B57">
        <f t="shared" si="0"/>
        <v>51</v>
      </c>
      <c r="C57" t="str">
        <f t="shared" si="1"/>
        <v>57.</v>
      </c>
      <c r="D57" t="str">
        <f t="shared" si="2"/>
        <v>If the wind will not serve, take to the oars.</v>
      </c>
    </row>
    <row r="58" spans="1:4" ht="18" x14ac:dyDescent="0.3">
      <c r="A58" s="11" t="s">
        <v>67</v>
      </c>
      <c r="B58">
        <f t="shared" si="0"/>
        <v>101</v>
      </c>
      <c r="C58" t="str">
        <f t="shared" si="1"/>
        <v>58.</v>
      </c>
      <c r="D58" t="str">
        <f t="shared" si="2"/>
        <v>You can’t fall if you don’t climb.  But there’s no joy in living your whole life on the ground.</v>
      </c>
    </row>
    <row r="59" spans="1:4" ht="18" x14ac:dyDescent="0.3">
      <c r="A59" s="11" t="s">
        <v>68</v>
      </c>
      <c r="B59">
        <f t="shared" si="0"/>
        <v>112</v>
      </c>
      <c r="C59" t="str">
        <f t="shared" si="1"/>
        <v>59.</v>
      </c>
      <c r="D59" t="str">
        <f t="shared" si="2"/>
        <v>We must believe that we are gifted for something, and that this thing, at whatever cost, must be attained.</v>
      </c>
    </row>
    <row r="60" spans="1:4" ht="18" x14ac:dyDescent="0.3">
      <c r="A60" s="11" t="s">
        <v>69</v>
      </c>
      <c r="B60">
        <f t="shared" si="0"/>
        <v>79</v>
      </c>
      <c r="C60" t="str">
        <f t="shared" si="1"/>
        <v>60.</v>
      </c>
      <c r="D60" t="str">
        <f t="shared" si="2"/>
        <v>Too many of us are not living our dreams because we are living our fears.</v>
      </c>
    </row>
    <row r="61" spans="1:4" ht="18" x14ac:dyDescent="0.3">
      <c r="A61" s="11" t="s">
        <v>70</v>
      </c>
      <c r="B61">
        <f t="shared" ref="B61:B73" si="3">IFERROR(FIND("–",A61),FIND("-",A61))</f>
        <v>98</v>
      </c>
      <c r="C61" t="str">
        <f t="shared" si="1"/>
        <v>61.</v>
      </c>
      <c r="D61" t="str">
        <f t="shared" si="2"/>
        <v>Challenges are what make life interesting and overcoming them is what makes life meaningful.</v>
      </c>
    </row>
    <row r="62" spans="1:4" ht="18" x14ac:dyDescent="0.3">
      <c r="A62" s="11" t="s">
        <v>71</v>
      </c>
      <c r="B62">
        <f t="shared" si="3"/>
        <v>60</v>
      </c>
      <c r="C62" t="str">
        <f t="shared" si="1"/>
        <v>62.</v>
      </c>
      <c r="D62" t="str">
        <f t="shared" si="2"/>
        <v>If you want to lift yourself up, lift up someone else.</v>
      </c>
    </row>
    <row r="63" spans="1:4" ht="18" x14ac:dyDescent="0.3">
      <c r="A63" s="11" t="s">
        <v>72</v>
      </c>
      <c r="B63">
        <f t="shared" si="3"/>
        <v>133</v>
      </c>
      <c r="C63" t="str">
        <f t="shared" si="1"/>
        <v>63.</v>
      </c>
      <c r="D63" t="str">
        <f t="shared" si="2"/>
        <v>I have been impressed with the urgency of doing. Knowing is not enough; we must apply. Being willing is not enough; we must do.</v>
      </c>
    </row>
    <row r="64" spans="1:4" ht="18" x14ac:dyDescent="0.3">
      <c r="A64" s="11" t="s">
        <v>73</v>
      </c>
      <c r="B64">
        <f t="shared" si="3"/>
        <v>110</v>
      </c>
      <c r="C64" t="str">
        <f t="shared" si="1"/>
        <v>64.</v>
      </c>
      <c r="D64" t="str">
        <f t="shared" si="2"/>
        <v>Limitations live only in our minds.  But if we use our imaginations, our possibilities become limitless.</v>
      </c>
    </row>
    <row r="65" spans="1:4" ht="18" x14ac:dyDescent="0.3">
      <c r="A65" s="11" t="s">
        <v>74</v>
      </c>
      <c r="B65">
        <f t="shared" si="3"/>
        <v>96</v>
      </c>
      <c r="C65" t="str">
        <f t="shared" si="1"/>
        <v>65.</v>
      </c>
      <c r="D65" t="str">
        <f t="shared" si="2"/>
        <v>You take your life in your own hands, and what happens? A terrible thing, no one to blame.</v>
      </c>
    </row>
    <row r="66" spans="1:4" ht="18" x14ac:dyDescent="0.3">
      <c r="A66" s="11" t="s">
        <v>75</v>
      </c>
      <c r="B66">
        <f t="shared" si="3"/>
        <v>133</v>
      </c>
      <c r="C66" t="str">
        <f t="shared" ref="C66:C73" si="4">TRIM(LEFT(A66, 3))</f>
        <v>66.</v>
      </c>
      <c r="D66" t="str">
        <f t="shared" ref="D66:D73" si="5">TRIM(MID(A66,FIND(".",A66)+2,B66-5))</f>
        <v>What’s money? A man is a success if he gets up in the morning and goes to bed at night and in between does what he wants to do.</v>
      </c>
    </row>
    <row r="67" spans="1:4" ht="18" x14ac:dyDescent="0.3">
      <c r="A67" s="11" t="s">
        <v>76</v>
      </c>
      <c r="B67">
        <f t="shared" si="3"/>
        <v>67</v>
      </c>
      <c r="C67" t="str">
        <f t="shared" si="4"/>
        <v>67.</v>
      </c>
      <c r="D67" t="str">
        <f t="shared" si="5"/>
        <v>I didn’t fail the test. I just found 100 ways to do it wrong.</v>
      </c>
    </row>
    <row r="68" spans="1:4" ht="18" x14ac:dyDescent="0.3">
      <c r="A68" s="11" t="s">
        <v>77</v>
      </c>
      <c r="B68">
        <f t="shared" si="3"/>
        <v>95</v>
      </c>
      <c r="C68" t="str">
        <f t="shared" si="4"/>
        <v>68.</v>
      </c>
      <c r="D68" t="str">
        <f t="shared" si="5"/>
        <v>In order to succeed, your desire for success should be greater than your fear of failure.</v>
      </c>
    </row>
    <row r="69" spans="1:4" ht="18" x14ac:dyDescent="0.3">
      <c r="A69" s="11" t="s">
        <v>78</v>
      </c>
      <c r="B69">
        <f t="shared" si="3"/>
        <v>65</v>
      </c>
      <c r="C69" t="str">
        <f t="shared" si="4"/>
        <v>69.</v>
      </c>
      <c r="D69" t="str">
        <f t="shared" si="5"/>
        <v>A person who never made a mistake never tried anything new.</v>
      </c>
    </row>
    <row r="70" spans="1:4" ht="18" x14ac:dyDescent="0.3">
      <c r="A70" s="11" t="s">
        <v>79</v>
      </c>
      <c r="B70">
        <f t="shared" si="3"/>
        <v>92</v>
      </c>
      <c r="C70" t="str">
        <f t="shared" si="4"/>
        <v>70.</v>
      </c>
      <c r="D70" t="str">
        <f t="shared" si="5"/>
        <v>The person who says it cannot be done should not interrupt the person who is doing it.</v>
      </c>
    </row>
    <row r="71" spans="1:4" ht="18" x14ac:dyDescent="0.3">
      <c r="A71" s="11" t="s">
        <v>80</v>
      </c>
      <c r="B71">
        <f t="shared" si="3"/>
        <v>53</v>
      </c>
      <c r="C71" t="str">
        <f t="shared" si="4"/>
        <v>71.</v>
      </c>
      <c r="D71" t="str">
        <f t="shared" si="5"/>
        <v>There are no traffic jams along the extra mile.</v>
      </c>
    </row>
    <row r="72" spans="1:4" ht="18" x14ac:dyDescent="0.3">
      <c r="A72" s="11" t="s">
        <v>81</v>
      </c>
      <c r="B72">
        <f t="shared" si="3"/>
        <v>58</v>
      </c>
      <c r="C72" t="str">
        <f t="shared" si="4"/>
        <v>72.</v>
      </c>
      <c r="D72" t="str">
        <f t="shared" si="5"/>
        <v>It is never too late to be what you might have been.</v>
      </c>
    </row>
    <row r="73" spans="1:4" ht="18" x14ac:dyDescent="0.3">
      <c r="A73" s="11" t="s">
        <v>82</v>
      </c>
      <c r="B73">
        <f t="shared" si="3"/>
        <v>34</v>
      </c>
      <c r="C73" t="str">
        <f t="shared" si="4"/>
        <v>73.</v>
      </c>
      <c r="D73" t="str">
        <f t="shared" si="5"/>
        <v>You become what you believe.</v>
      </c>
    </row>
  </sheetData>
  <hyperlinks>
    <hyperlink ref="A1" r:id="rId1" display="https://twitter.com/intent/tweet?url=http%3A%2F%2Fwww.forbes.com%2Fsites%2Fkevinkruse%2F2013%2F05%2F28%2Finspirational-quotes%2F&amp;text=Life%20is%20about%20making%20an%20impact%2C%20not%20making%20an%20income.%20--Kevin%20%40Kruse" xr:uid="{00000000-0004-0000-0100-000000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A38"/>
  <sheetViews>
    <sheetView showGridLines="0" zoomScale="70" zoomScaleNormal="70" workbookViewId="0">
      <selection activeCell="N34" sqref="N34"/>
    </sheetView>
  </sheetViews>
  <sheetFormatPr defaultRowHeight="14.4" x14ac:dyDescent="0.3"/>
  <cols>
    <col min="2" max="3" width="8.33203125" customWidth="1"/>
    <col min="4" max="4" width="9.44140625" customWidth="1"/>
    <col min="5" max="7" width="8.33203125" customWidth="1"/>
    <col min="8" max="8" width="4.33203125" customWidth="1"/>
    <col min="9" max="9" width="7.5546875" customWidth="1"/>
    <col min="10" max="10" width="7.88671875" customWidth="1"/>
    <col min="12" max="12" width="7.44140625" customWidth="1"/>
    <col min="13" max="13" width="6.5546875" customWidth="1"/>
    <col min="14" max="14" width="7.109375" customWidth="1"/>
    <col min="16" max="16" width="6" customWidth="1"/>
    <col min="20" max="20" width="7.6640625" customWidth="1"/>
  </cols>
  <sheetData>
    <row r="1" spans="2:27" ht="14.4" customHeight="1" x14ac:dyDescent="0.3">
      <c r="B1" s="48" t="s">
        <v>87</v>
      </c>
      <c r="C1" s="49"/>
      <c r="D1" s="49"/>
      <c r="E1" s="49"/>
      <c r="F1" s="49"/>
      <c r="G1" s="49"/>
      <c r="H1" s="49"/>
      <c r="I1" s="49"/>
      <c r="J1" s="49"/>
      <c r="K1" s="49"/>
      <c r="L1" s="49"/>
      <c r="M1" s="49"/>
      <c r="N1" s="49"/>
      <c r="O1" s="49"/>
      <c r="P1" s="49"/>
      <c r="Q1" s="49"/>
      <c r="R1" s="49"/>
      <c r="S1" s="49"/>
      <c r="T1" s="49"/>
    </row>
    <row r="2" spans="2:27" ht="14.4" customHeight="1" x14ac:dyDescent="0.3">
      <c r="B2" s="48"/>
      <c r="C2" s="49"/>
      <c r="D2" s="49"/>
      <c r="E2" s="49"/>
      <c r="F2" s="49"/>
      <c r="G2" s="49"/>
      <c r="H2" s="49"/>
      <c r="I2" s="49"/>
      <c r="J2" s="49"/>
      <c r="K2" s="49"/>
      <c r="L2" s="49"/>
      <c r="M2" s="49"/>
      <c r="N2" s="49"/>
      <c r="O2" s="49"/>
      <c r="P2" s="49"/>
      <c r="Q2" s="49"/>
      <c r="R2" s="49"/>
      <c r="S2" s="49"/>
      <c r="T2" s="49"/>
    </row>
    <row r="3" spans="2:27" ht="15" customHeight="1" x14ac:dyDescent="0.3">
      <c r="B3" s="48"/>
      <c r="C3" s="49"/>
      <c r="D3" s="49"/>
      <c r="E3" s="49"/>
      <c r="F3" s="49"/>
      <c r="G3" s="49"/>
      <c r="H3" s="49"/>
      <c r="I3" s="49"/>
      <c r="J3" s="49"/>
      <c r="K3" s="49"/>
      <c r="L3" s="49"/>
      <c r="M3" s="49"/>
      <c r="N3" s="49"/>
      <c r="O3" s="49"/>
      <c r="P3" s="49"/>
      <c r="Q3" s="49"/>
      <c r="R3" s="49"/>
      <c r="S3" s="49"/>
      <c r="T3" s="49"/>
    </row>
    <row r="4" spans="2:27" ht="15" thickBot="1" x14ac:dyDescent="0.35"/>
    <row r="5" spans="2:27" s="14" customFormat="1" ht="14.4" customHeight="1" x14ac:dyDescent="0.3">
      <c r="B5" s="50" t="s">
        <v>88</v>
      </c>
      <c r="C5" s="51"/>
      <c r="D5" s="51"/>
      <c r="E5" s="51"/>
      <c r="F5" s="51"/>
      <c r="G5" s="51"/>
      <c r="H5" s="51"/>
      <c r="I5" s="51"/>
      <c r="J5" s="52"/>
      <c r="K5" s="50" t="s">
        <v>89</v>
      </c>
      <c r="L5" s="51"/>
      <c r="M5" s="51"/>
      <c r="N5" s="51"/>
      <c r="O5" s="51"/>
      <c r="P5" s="51"/>
      <c r="Q5" s="51"/>
      <c r="R5" s="51"/>
      <c r="S5" s="51"/>
      <c r="T5" s="52"/>
    </row>
    <row r="6" spans="2:27" s="14" customFormat="1" ht="15" customHeight="1" thickBot="1" x14ac:dyDescent="0.35">
      <c r="B6" s="53"/>
      <c r="C6" s="54"/>
      <c r="D6" s="54"/>
      <c r="E6" s="54"/>
      <c r="F6" s="54"/>
      <c r="G6" s="54"/>
      <c r="H6" s="54"/>
      <c r="I6" s="54"/>
      <c r="J6" s="55"/>
      <c r="K6" s="53"/>
      <c r="L6" s="54"/>
      <c r="M6" s="54"/>
      <c r="N6" s="54"/>
      <c r="O6" s="54"/>
      <c r="P6" s="54"/>
      <c r="Q6" s="54"/>
      <c r="R6" s="54"/>
      <c r="S6" s="54"/>
      <c r="T6" s="55"/>
    </row>
    <row r="7" spans="2:27" s="14" customFormat="1" ht="13.8" x14ac:dyDescent="0.3">
      <c r="B7" s="39" t="s">
        <v>91</v>
      </c>
      <c r="C7" s="40"/>
      <c r="D7" s="41"/>
      <c r="E7" s="39" t="s">
        <v>97</v>
      </c>
      <c r="F7" s="40"/>
      <c r="G7" s="40"/>
      <c r="H7" s="41"/>
      <c r="I7" s="39" t="s">
        <v>98</v>
      </c>
      <c r="J7" s="40"/>
      <c r="K7" s="40"/>
      <c r="L7" s="41"/>
      <c r="M7" s="39" t="s">
        <v>108</v>
      </c>
      <c r="N7" s="40"/>
      <c r="O7" s="40"/>
      <c r="P7" s="41"/>
      <c r="Q7" s="39" t="s">
        <v>125</v>
      </c>
      <c r="R7" s="40"/>
      <c r="S7" s="40"/>
      <c r="T7" s="41"/>
    </row>
    <row r="8" spans="2:27" s="14" customFormat="1" ht="13.8" x14ac:dyDescent="0.3">
      <c r="B8" s="42"/>
      <c r="C8" s="43"/>
      <c r="D8" s="44"/>
      <c r="E8" s="42"/>
      <c r="F8" s="43"/>
      <c r="G8" s="43"/>
      <c r="H8" s="44"/>
      <c r="I8" s="42"/>
      <c r="J8" s="43"/>
      <c r="K8" s="43"/>
      <c r="L8" s="44"/>
      <c r="M8" s="42"/>
      <c r="N8" s="43"/>
      <c r="O8" s="43"/>
      <c r="P8" s="44"/>
      <c r="Q8" s="42"/>
      <c r="R8" s="43"/>
      <c r="S8" s="43"/>
      <c r="T8" s="44"/>
    </row>
    <row r="9" spans="2:27" s="14" customFormat="1" ht="13.8" x14ac:dyDescent="0.3">
      <c r="B9" s="42"/>
      <c r="C9" s="43"/>
      <c r="D9" s="44"/>
      <c r="E9" s="42"/>
      <c r="F9" s="43"/>
      <c r="G9" s="43"/>
      <c r="H9" s="44"/>
      <c r="I9" s="42"/>
      <c r="J9" s="43"/>
      <c r="K9" s="43"/>
      <c r="L9" s="44"/>
      <c r="M9" s="42"/>
      <c r="N9" s="43"/>
      <c r="O9" s="43"/>
      <c r="P9" s="44"/>
      <c r="Q9" s="42"/>
      <c r="R9" s="43"/>
      <c r="S9" s="43"/>
      <c r="T9" s="44"/>
    </row>
    <row r="10" spans="2:27" s="14" customFormat="1" ht="13.8" x14ac:dyDescent="0.3">
      <c r="B10" s="42"/>
      <c r="C10" s="43"/>
      <c r="D10" s="44"/>
      <c r="E10" s="42"/>
      <c r="F10" s="43"/>
      <c r="G10" s="43"/>
      <c r="H10" s="44"/>
      <c r="I10" s="42"/>
      <c r="J10" s="43"/>
      <c r="K10" s="43"/>
      <c r="L10" s="44"/>
      <c r="M10" s="42"/>
      <c r="N10" s="43"/>
      <c r="O10" s="43"/>
      <c r="P10" s="44"/>
      <c r="Q10" s="42"/>
      <c r="R10" s="43"/>
      <c r="S10" s="43"/>
      <c r="T10" s="44"/>
    </row>
    <row r="11" spans="2:27" s="14" customFormat="1" ht="13.8" x14ac:dyDescent="0.3">
      <c r="B11" s="42"/>
      <c r="C11" s="43"/>
      <c r="D11" s="44"/>
      <c r="E11" s="42"/>
      <c r="F11" s="43"/>
      <c r="G11" s="43"/>
      <c r="H11" s="44"/>
      <c r="I11" s="42"/>
      <c r="J11" s="43"/>
      <c r="K11" s="43"/>
      <c r="L11" s="44"/>
      <c r="M11" s="42"/>
      <c r="N11" s="43"/>
      <c r="O11" s="43"/>
      <c r="P11" s="44"/>
      <c r="Q11" s="42"/>
      <c r="R11" s="43"/>
      <c r="S11" s="43"/>
      <c r="T11" s="44"/>
    </row>
    <row r="12" spans="2:27" s="14" customFormat="1" ht="13.8" x14ac:dyDescent="0.3">
      <c r="B12" s="42"/>
      <c r="C12" s="43"/>
      <c r="D12" s="44"/>
      <c r="E12" s="42"/>
      <c r="F12" s="43"/>
      <c r="G12" s="43"/>
      <c r="H12" s="44"/>
      <c r="I12" s="42"/>
      <c r="J12" s="43"/>
      <c r="K12" s="43"/>
      <c r="L12" s="44"/>
      <c r="M12" s="42"/>
      <c r="N12" s="43"/>
      <c r="O12" s="43"/>
      <c r="P12" s="44"/>
      <c r="Q12" s="42"/>
      <c r="R12" s="43"/>
      <c r="S12" s="43"/>
      <c r="T12" s="44"/>
    </row>
    <row r="13" spans="2:27" s="14" customFormat="1" ht="13.8" x14ac:dyDescent="0.3">
      <c r="B13" s="42"/>
      <c r="C13" s="43"/>
      <c r="D13" s="44"/>
      <c r="E13" s="42"/>
      <c r="F13" s="43"/>
      <c r="G13" s="43"/>
      <c r="H13" s="44"/>
      <c r="I13" s="42"/>
      <c r="J13" s="43"/>
      <c r="K13" s="43"/>
      <c r="L13" s="44"/>
      <c r="M13" s="42"/>
      <c r="N13" s="43"/>
      <c r="O13" s="43"/>
      <c r="P13" s="44"/>
      <c r="Q13" s="42"/>
      <c r="R13" s="43"/>
      <c r="S13" s="43"/>
      <c r="T13" s="44"/>
    </row>
    <row r="14" spans="2:27" s="14" customFormat="1" ht="13.8" x14ac:dyDescent="0.3">
      <c r="B14" s="42"/>
      <c r="C14" s="43"/>
      <c r="D14" s="44"/>
      <c r="E14" s="42"/>
      <c r="F14" s="43"/>
      <c r="G14" s="43"/>
      <c r="H14" s="44"/>
      <c r="I14" s="42"/>
      <c r="J14" s="43"/>
      <c r="K14" s="43"/>
      <c r="L14" s="44"/>
      <c r="M14" s="42"/>
      <c r="N14" s="43"/>
      <c r="O14" s="43"/>
      <c r="P14" s="44"/>
      <c r="Q14" s="42"/>
      <c r="R14" s="43"/>
      <c r="S14" s="43"/>
      <c r="T14" s="44"/>
    </row>
    <row r="15" spans="2:27" ht="15" thickBot="1" x14ac:dyDescent="0.35">
      <c r="B15" s="45"/>
      <c r="C15" s="46"/>
      <c r="D15" s="47"/>
      <c r="E15" s="45"/>
      <c r="F15" s="46"/>
      <c r="G15" s="46"/>
      <c r="H15" s="47"/>
      <c r="I15" s="45"/>
      <c r="J15" s="46"/>
      <c r="K15" s="46"/>
      <c r="L15" s="47"/>
      <c r="M15" s="45"/>
      <c r="N15" s="46"/>
      <c r="O15" s="46"/>
      <c r="P15" s="47"/>
      <c r="Q15" s="45"/>
      <c r="R15" s="46"/>
      <c r="S15" s="46"/>
      <c r="T15" s="47"/>
      <c r="AA15" s="14"/>
    </row>
    <row r="16" spans="2:27" x14ac:dyDescent="0.3">
      <c r="AA16" s="14"/>
    </row>
    <row r="17" spans="2:27" ht="15" thickBot="1" x14ac:dyDescent="0.35">
      <c r="AA17" s="14"/>
    </row>
    <row r="18" spans="2:27" ht="14.4" customHeight="1" x14ac:dyDescent="0.3">
      <c r="B18" s="33" t="s">
        <v>103</v>
      </c>
      <c r="C18" s="34"/>
      <c r="D18" s="35"/>
    </row>
    <row r="19" spans="2:27" ht="14.4" customHeight="1" thickBot="1" x14ac:dyDescent="0.35">
      <c r="B19" s="36"/>
      <c r="C19" s="37"/>
      <c r="D19" s="38"/>
    </row>
    <row r="20" spans="2:27" ht="15" customHeight="1" x14ac:dyDescent="0.3">
      <c r="Z20" t="s">
        <v>104</v>
      </c>
    </row>
    <row r="22" spans="2:27" x14ac:dyDescent="0.3">
      <c r="B22" s="15" t="s">
        <v>90</v>
      </c>
    </row>
    <row r="23" spans="2:27" x14ac:dyDescent="0.3">
      <c r="B23" s="16" t="s">
        <v>92</v>
      </c>
    </row>
    <row r="24" spans="2:27" x14ac:dyDescent="0.3">
      <c r="B24" s="16" t="s">
        <v>93</v>
      </c>
    </row>
    <row r="25" spans="2:27" x14ac:dyDescent="0.3">
      <c r="B25" s="16" t="s">
        <v>105</v>
      </c>
    </row>
    <row r="26" spans="2:27" x14ac:dyDescent="0.3">
      <c r="B26" s="14"/>
    </row>
    <row r="27" spans="2:27" x14ac:dyDescent="0.3">
      <c r="B27" s="15" t="s">
        <v>94</v>
      </c>
      <c r="C27" s="29"/>
    </row>
    <row r="28" spans="2:27" x14ac:dyDescent="0.3">
      <c r="B28" s="16" t="s">
        <v>95</v>
      </c>
    </row>
    <row r="29" spans="2:27" x14ac:dyDescent="0.3">
      <c r="B29" s="16" t="s">
        <v>96</v>
      </c>
    </row>
    <row r="31" spans="2:27" x14ac:dyDescent="0.3">
      <c r="B31" s="18" t="s">
        <v>99</v>
      </c>
      <c r="C31" s="29"/>
    </row>
    <row r="32" spans="2:27" x14ac:dyDescent="0.3">
      <c r="B32" s="17" t="s">
        <v>100</v>
      </c>
    </row>
    <row r="33" spans="2:2" x14ac:dyDescent="0.3">
      <c r="B33" s="17" t="s">
        <v>106</v>
      </c>
    </row>
    <row r="34" spans="2:2" x14ac:dyDescent="0.3">
      <c r="B34" s="17" t="s">
        <v>107</v>
      </c>
    </row>
    <row r="36" spans="2:2" x14ac:dyDescent="0.3">
      <c r="B36" s="18" t="s">
        <v>101</v>
      </c>
    </row>
    <row r="37" spans="2:2" x14ac:dyDescent="0.3">
      <c r="B37" s="17" t="s">
        <v>102</v>
      </c>
    </row>
    <row r="38" spans="2:2" x14ac:dyDescent="0.3">
      <c r="B38" s="13" t="s">
        <v>109</v>
      </c>
    </row>
  </sheetData>
  <mergeCells count="9">
    <mergeCell ref="B18:D19"/>
    <mergeCell ref="I7:L15"/>
    <mergeCell ref="M7:P15"/>
    <mergeCell ref="Q7:T15"/>
    <mergeCell ref="B1:T3"/>
    <mergeCell ref="B5:J6"/>
    <mergeCell ref="K5:T6"/>
    <mergeCell ref="B7:D15"/>
    <mergeCell ref="E7:H15"/>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D17"/>
  <sheetViews>
    <sheetView showGridLines="0" workbookViewId="0">
      <selection sqref="A1:B1"/>
    </sheetView>
  </sheetViews>
  <sheetFormatPr defaultRowHeight="14.4" x14ac:dyDescent="0.3"/>
  <cols>
    <col min="1" max="1" width="11.109375" customWidth="1"/>
    <col min="2" max="2" width="28.44140625" bestFit="1" customWidth="1"/>
  </cols>
  <sheetData>
    <row r="1" spans="1:4" ht="16.2" thickBot="1" x14ac:dyDescent="0.35">
      <c r="A1" s="56" t="s">
        <v>117</v>
      </c>
      <c r="B1" s="57"/>
    </row>
    <row r="2" spans="1:4" ht="15.6" x14ac:dyDescent="0.3">
      <c r="A2" s="20">
        <v>1</v>
      </c>
      <c r="B2" s="21" t="s">
        <v>110</v>
      </c>
    </row>
    <row r="3" spans="1:4" ht="15.6" x14ac:dyDescent="0.3">
      <c r="A3" s="22">
        <v>2</v>
      </c>
      <c r="B3" s="21" t="s">
        <v>111</v>
      </c>
      <c r="D3" s="30"/>
    </row>
    <row r="4" spans="1:4" ht="15.6" x14ac:dyDescent="0.3">
      <c r="A4" s="22">
        <v>10</v>
      </c>
      <c r="B4" s="21" t="s">
        <v>112</v>
      </c>
    </row>
    <row r="5" spans="1:4" ht="16.2" thickBot="1" x14ac:dyDescent="0.35">
      <c r="A5" s="23">
        <f>A2/A4</f>
        <v>0.1</v>
      </c>
      <c r="B5" s="24" t="s">
        <v>113</v>
      </c>
    </row>
    <row r="6" spans="1:4" ht="16.2" thickBot="1" x14ac:dyDescent="0.35">
      <c r="A6" s="19"/>
      <c r="B6" s="19"/>
    </row>
    <row r="7" spans="1:4" ht="16.2" thickBot="1" x14ac:dyDescent="0.35">
      <c r="A7" s="56" t="s">
        <v>118</v>
      </c>
      <c r="B7" s="57"/>
      <c r="D7" s="30"/>
    </row>
    <row r="8" spans="1:4" ht="15.6" x14ac:dyDescent="0.3">
      <c r="A8" s="25">
        <v>0.1</v>
      </c>
      <c r="B8" s="21" t="s">
        <v>113</v>
      </c>
    </row>
    <row r="9" spans="1:4" ht="15.6" x14ac:dyDescent="0.3">
      <c r="A9" s="20">
        <v>0.2</v>
      </c>
      <c r="B9" s="21" t="s">
        <v>114</v>
      </c>
    </row>
    <row r="10" spans="1:4" ht="16.2" thickBot="1" x14ac:dyDescent="0.35">
      <c r="A10" s="26">
        <f>A2/A9</f>
        <v>5</v>
      </c>
      <c r="B10" s="24" t="s">
        <v>115</v>
      </c>
    </row>
    <row r="11" spans="1:4" ht="16.2" thickBot="1" x14ac:dyDescent="0.35">
      <c r="A11" s="19"/>
      <c r="B11" s="19"/>
      <c r="D11" s="30"/>
    </row>
    <row r="12" spans="1:4" ht="16.2" thickBot="1" x14ac:dyDescent="0.35">
      <c r="A12" s="56" t="s">
        <v>122</v>
      </c>
      <c r="B12" s="57"/>
    </row>
    <row r="13" spans="1:4" ht="15.6" x14ac:dyDescent="0.3">
      <c r="A13" s="22">
        <f>A10</f>
        <v>5</v>
      </c>
      <c r="B13" s="21" t="s">
        <v>120</v>
      </c>
    </row>
    <row r="14" spans="1:4" ht="15.6" x14ac:dyDescent="0.3">
      <c r="A14" s="27">
        <v>20</v>
      </c>
      <c r="B14" s="21" t="s">
        <v>116</v>
      </c>
    </row>
    <row r="15" spans="1:4" ht="15.6" x14ac:dyDescent="0.3">
      <c r="A15" s="25">
        <f>A3*A4*A5*A14</f>
        <v>40</v>
      </c>
      <c r="B15" s="21" t="s">
        <v>117</v>
      </c>
    </row>
    <row r="16" spans="1:4" ht="15.6" x14ac:dyDescent="0.3">
      <c r="A16" s="25">
        <f>A3*A9*A4*A14</f>
        <v>80</v>
      </c>
      <c r="B16" s="21" t="s">
        <v>118</v>
      </c>
    </row>
    <row r="17" spans="1:2" ht="16.2" thickBot="1" x14ac:dyDescent="0.35">
      <c r="A17" s="23">
        <f>A16-A15</f>
        <v>40</v>
      </c>
      <c r="B17" s="24" t="s">
        <v>119</v>
      </c>
    </row>
  </sheetData>
  <mergeCells count="3">
    <mergeCell ref="A1:B1"/>
    <mergeCell ref="A7:B7"/>
    <mergeCell ref="A12:B1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Sheet2</vt:lpstr>
      <vt:lpstr>Layout</vt:lpstr>
      <vt:lpstr>Calculation</vt:lpstr>
    </vt:vector>
  </TitlesOfParts>
  <Company>Centennial College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Mark Eliezer Arnoco</cp:lastModifiedBy>
  <dcterms:created xsi:type="dcterms:W3CDTF">2019-11-22T16:39:37Z</dcterms:created>
  <dcterms:modified xsi:type="dcterms:W3CDTF">2024-02-24T09:55:47Z</dcterms:modified>
</cp:coreProperties>
</file>